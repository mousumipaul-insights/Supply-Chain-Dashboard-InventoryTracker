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_Tracker" sheetId="1" state="visible" r:id="rId3"/>
    <sheet name="EOQ_Solver_Model" sheetId="2" state="visible" r:id="rId4"/>
    <sheet name="Demand_Trends" sheetId="3" state="visible" r:id="rId5"/>
    <sheet name="Supplier_LeadTime" sheetId="4" state="visible" r:id="rId6"/>
    <sheet name="SQL_Export_Preview" sheetId="5" state="visible" r:id="rId7"/>
    <sheet name="KPI_Dashboard" sheetId="6" state="visible" r:id="rId8"/>
    <sheet name="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<sst xmlns="http://schemas.openxmlformats.org/spreadsheetml/2006/main" count="268" uniqueCount="186">
  <si>
    <t xml:space="preserve">REAL-TIME INVENTORY TRACKER  ·  SQL-Connected Dashboard  ·  Mousumi Paul | Feb 2025</t>
  </si>
  <si>
    <t xml:space="preserve">Stock Levels · EOQ · Reorder Points · Safety Stock · 5 Product Categories</t>
  </si>
  <si>
    <t xml:space="preserve">  MODEL PARAMETERS  (Blue = editable inputs)</t>
  </si>
  <si>
    <t xml:space="preserve">Working Days/Year</t>
  </si>
  <si>
    <t xml:space="preserve">Lead Time (Days)</t>
  </si>
  <si>
    <t xml:space="preserve">Z-Score (95% SL)</t>
  </si>
  <si>
    <t xml:space="preserve">Ordering Cost (₹)</t>
  </si>
  <si>
    <t xml:space="preserve">#</t>
  </si>
  <si>
    <t xml:space="preserve">Product</t>
  </si>
  <si>
    <t xml:space="preserve">Category
Code</t>
  </si>
  <si>
    <t xml:space="preserve">Unit Cost
(₹)</t>
  </si>
  <si>
    <t xml:space="preserve">Hold %
/yr</t>
  </si>
  <si>
    <t xml:space="preserve">Hold Cost
(₹/unit)</t>
  </si>
  <si>
    <t xml:space="preserve">Ann. Demand
(Units)</t>
  </si>
  <si>
    <t xml:space="preserve">Demand
Std Dev</t>
  </si>
  <si>
    <t xml:space="preserve">EOQ
(Units)</t>
  </si>
  <si>
    <t xml:space="preserve">Safety
Stock</t>
  </si>
  <si>
    <t xml:space="preserve">Reorder
Point</t>
  </si>
  <si>
    <t xml:space="preserve">Current
Stock</t>
  </si>
  <si>
    <t xml:space="preserve">Electronics</t>
  </si>
  <si>
    <t xml:space="preserve">P01</t>
  </si>
  <si>
    <t xml:space="preserve">Apparel</t>
  </si>
  <si>
    <t xml:space="preserve">P02</t>
  </si>
  <si>
    <t xml:space="preserve">Home &amp; Kitchen</t>
  </si>
  <si>
    <t xml:space="preserve">P03</t>
  </si>
  <si>
    <t xml:space="preserve">Sports &amp; Outdoors</t>
  </si>
  <si>
    <t xml:space="preserve">P04</t>
  </si>
  <si>
    <t xml:space="preserve">Beauty &amp; Health</t>
  </si>
  <si>
    <t xml:space="preserve">P05</t>
  </si>
  <si>
    <t xml:space="preserve">  STOCK ALERT STATUS  (auto-updates when Current Stock changes)</t>
  </si>
  <si>
    <t xml:space="preserve">EOQ</t>
  </si>
  <si>
    <t xml:space="preserve">Days of
Supply</t>
  </si>
  <si>
    <t xml:space="preserve">Stock-Out
Risk %</t>
  </si>
  <si>
    <t xml:space="preserve">Excess
Stock</t>
  </si>
  <si>
    <t xml:space="preserve">Hold Cost
Excess (₹)</t>
  </si>
  <si>
    <t xml:space="preserve">Alert Status</t>
  </si>
  <si>
    <t xml:space="preserve">Recommended Action</t>
  </si>
  <si>
    <t xml:space="preserve">EOQ SOLVER MODEL  ·  Excel Solver Optimization  ·  Cost Minimization</t>
  </si>
  <si>
    <t xml:space="preserve">Solver minimizes Total Inventory Cost by finding optimal order quantity per product</t>
  </si>
  <si>
    <t xml:space="preserve">📌  SOLVER SETUP: Set Objective = MIN of cell M (Total Cost Row). Variable Cells = Col G (Order Qty). Constraints: G &gt;= I (EOQ) and G &gt;= J (Safety Stock)</t>
  </si>
  <si>
    <t xml:space="preserve">  SCENARIO MANAGER INPUTS  (Base / High-Demand / Cost-Optimized)</t>
  </si>
  <si>
    <t xml:space="preserve">Base Case</t>
  </si>
  <si>
    <t xml:space="preserve">OC=₹2500 | LT=14d | Z=1.65</t>
  </si>
  <si>
    <t xml:space="preserve">High Demand (+20%)</t>
  </si>
  <si>
    <t xml:space="preserve">OC=₹2500 | LT=10d | Z=1.65</t>
  </si>
  <si>
    <t xml:space="preserve">Cost Optimized</t>
  </si>
  <si>
    <t xml:space="preserve">OC=₹2000 | LT=14d | Z=1.28</t>
  </si>
  <si>
    <t xml:space="preserve">Unit
Cost (₹)</t>
  </si>
  <si>
    <t xml:space="preserve">Hold
Cost %</t>
  </si>
  <si>
    <t xml:space="preserve">Ann.
Demand</t>
  </si>
  <si>
    <t xml:space="preserve">Std
Dev</t>
  </si>
  <si>
    <t xml:space="preserve">Order
Qty (EOQ)</t>
  </si>
  <si>
    <t xml:space="preserve">Total Inv
Cost (₹)</t>
  </si>
  <si>
    <t xml:space="preserve">TOTAL</t>
  </si>
  <si>
    <t xml:space="preserve">—</t>
  </si>
  <si>
    <t xml:space="preserve">DEMAND TRENDS  ·  12-Month Sales Data  ·  5 Product Categories</t>
  </si>
  <si>
    <t xml:space="preserve">Monthly units sold | MoM growth | Peak detection | SQL data source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</si>
  <si>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</si>
  <si>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</si>
  <si>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</si>
  <si>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</si>
  <si>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</si>
  <si>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</si>
  <si>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</si>
  <si>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</si>
  <si>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</si>
  <si>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</si>
  <si>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</si>
  <si>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</si>
  <si>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
Total</t>
  </si>
  <si>
    <t xml:space="preserve">Peak
Month</t>
  </si>
  <si>
    <t xml:space="preserve">  TOTAL</t>
  </si>
  <si>
    <t xml:space="preserve">  TOTAL MoM GROWTH %</t>
  </si>
  <si>
    <t xml:space="preserve">All Categories</t>
  </si>
  <si>
    <t xml:space="preserve">SUPPLIER PERFORMANCE &amp; LEAD TIME TRACKER</t>
  </si>
  <si>
    <t xml:space="preserve">Supplier details · Actual vs agreed lead times · On-time delivery rate</t>
  </si>
  <si>
    <t xml:space="preserve">Supplier
Name</t>
  </si>
  <si>
    <t xml:space="preserve">Supplier
Code</t>
  </si>
  <si>
    <t xml:space="preserve">Agreed
LT (Days)</t>
  </si>
  <si>
    <t xml:space="preserve">Actual
LT (Days)</t>
  </si>
  <si>
    <t xml:space="preserve">LT
Variance</t>
  </si>
  <si>
    <t xml:space="preserve">On-Time
Delivery %</t>
  </si>
  <si>
    <t xml:space="preserve">Last Order
Date</t>
  </si>
  <si>
    <t xml:space="preserve">Next
Order Due</t>
  </si>
  <si>
    <t xml:space="preserve">Supplier
Rating</t>
  </si>
  <si>
    <t xml:space="preserve">TechSupply Co.</t>
  </si>
  <si>
    <t xml:space="preserve">SUP01</t>
  </si>
  <si>
    <t xml:space="preserve">2025-01-10</t>
  </si>
  <si>
    <t xml:space="preserve">2025-01-24</t>
  </si>
  <si>
    <t xml:space="preserve">★★★★★</t>
  </si>
  <si>
    <t xml:space="preserve">FashionTextiles</t>
  </si>
  <si>
    <t xml:space="preserve">SUP02</t>
  </si>
  <si>
    <t xml:space="preserve">2025-01-15</t>
  </si>
  <si>
    <t xml:space="preserve">2025-01-26</t>
  </si>
  <si>
    <t xml:space="preserve">HomeGoods Ltd.</t>
  </si>
  <si>
    <t xml:space="preserve">SUP03</t>
  </si>
  <si>
    <t xml:space="preserve">2025-01-08</t>
  </si>
  <si>
    <t xml:space="preserve">2025-01-22</t>
  </si>
  <si>
    <t xml:space="preserve">SportsPro India</t>
  </si>
  <si>
    <t xml:space="preserve">SUP04</t>
  </si>
  <si>
    <t xml:space="preserve">2025-01-20</t>
  </si>
  <si>
    <t xml:space="preserve">2025-02-07</t>
  </si>
  <si>
    <t xml:space="preserve">BeautyWholesale</t>
  </si>
  <si>
    <t xml:space="preserve">SUP05</t>
  </si>
  <si>
    <t xml:space="preserve">2025-01-12</t>
  </si>
  <si>
    <t xml:space="preserve">SQL EXPORT PREVIEW  ·  Sample Query Results from PostgreSQL / MySQL</t>
  </si>
  <si>
    <t xml:space="preserve">Simulated output of: SELECT * FROM vw_inventory_dashboard — Connected via Power BI / Tableau</t>
  </si>
  <si>
    <t xml:space="preserve">Date</t>
  </si>
  <si>
    <t xml:space="preserve">Units
Sold</t>
  </si>
  <si>
    <t xml:space="preserve">Alert
Status</t>
  </si>
  <si>
    <t xml:space="preserve">SQL Source
Table</t>
  </si>
  <si>
    <t xml:space="preserve">2025-01-31</t>
  </si>
  <si>
    <t xml:space="preserve">🟠 REORDER</t>
  </si>
  <si>
    <t xml:space="preserve">fact_inventory</t>
  </si>
  <si>
    <t xml:space="preserve">🟢 HEALTHY</t>
  </si>
  <si>
    <t xml:space="preserve">🔴 CRITICAL</t>
  </si>
  <si>
    <t xml:space="preserve">  SQL QUERY USED TO GENERATE THIS VIEW  (stored in sql/views/vw_inventory_dashboard.sql)</t>
  </si>
  <si>
    <t xml:space="preserve">SELECT p.product_name, p.category_code, i.current_stock, i.eoq_qty, i.safety_stock,</t>
  </si>
  <si>
    <t xml:space="preserve">       i.reorder_point, i.daily_demand, i.lead_time_days,</t>
  </si>
  <si>
    <t xml:space="preserve">       CASE WHEN i.current_stock &lt; i.safety_stock THEN 'CRITICAL'</t>
  </si>
  <si>
    <t xml:space="preserve">            WHEN i.current_stock &lt; i.reorder_point THEN 'REORDER NOW'</t>
  </si>
  <si>
    <t xml:space="preserve">            ELSE 'HEALTHY' END AS alert_status</t>
  </si>
  <si>
    <t xml:space="preserve">FROM   dim_products p JOIN fact_inventory i ON p.product_id = i.product_id</t>
  </si>
  <si>
    <t xml:space="preserve">WHERE  i.snapshot_date = CURRENT_DATE;</t>
  </si>
  <si>
    <t xml:space="preserve">KPI SUMMARY DASHBOARD  ·  Inventory Health at a Glance</t>
  </si>
  <si>
    <t xml:space="preserve">Live formulas — updates when Inventory_Tracker sheet data changes</t>
  </si>
  <si>
    <t xml:space="preserve">  KEY PERFORMANCE INDICATORS</t>
  </si>
  <si>
    <t xml:space="preserve">Total Products Monitored</t>
  </si>
  <si>
    <t xml:space="preserve">Products at Critical Level</t>
  </si>
  <si>
    <t xml:space="preserve">Products Requiring Reorder</t>
  </si>
  <si>
    <t xml:space="preserve">Products with Excess Stock</t>
  </si>
  <si>
    <t xml:space="preserve">Avg Days of Supply</t>
  </si>
  <si>
    <t xml:space="preserve">Total Excess Holding Cost (₹)</t>
  </si>
  <si>
    <t xml:space="preserve">Total Annual Inventory Cost (₹)</t>
  </si>
  <si>
    <t xml:space="preserve">Cost Reduction vs Baseline (%)</t>
  </si>
  <si>
    <t xml:space="preserve">  ALERT SUMMARY (from Inventory_Tracker)</t>
  </si>
  <si>
    <t xml:space="preserve">WORKBOOK GUIDE  ·  Color Legend  ·  Sheet Index  ·  SQL Connection Notes</t>
  </si>
  <si>
    <t xml:space="preserve">COLOR LEGEND</t>
  </si>
  <si>
    <t xml:space="preserve">🔵 Blue text</t>
  </si>
  <si>
    <t xml:space="preserve">Hardcoded inputs — safe to change</t>
  </si>
  <si>
    <t xml:space="preserve">⚫ Black text</t>
  </si>
  <si>
    <t xml:space="preserve">Formula outputs — do not edit manually</t>
  </si>
  <si>
    <t xml:space="preserve">🟢 Green text</t>
  </si>
  <si>
    <t xml:space="preserve">Cross-sheet links from other tabs</t>
  </si>
  <si>
    <t xml:space="preserve">🟡 Yellow background</t>
  </si>
  <si>
    <t xml:space="preserve">Key input cells requiring regular updates</t>
  </si>
  <si>
    <t xml:space="preserve">Teal highlight</t>
  </si>
  <si>
    <t xml:space="preserve">EOQ output cells</t>
  </si>
  <si>
    <t xml:space="preserve">Green highlight</t>
  </si>
  <si>
    <t xml:space="preserve">Safety stock output cells</t>
  </si>
  <si>
    <t xml:space="preserve">Blue highlight</t>
  </si>
  <si>
    <t xml:space="preserve">Reorder point output cells</t>
  </si>
  <si>
    <t xml:space="preserve">Amber highlight</t>
  </si>
  <si>
    <t xml:space="preserve">Excess cost flags &amp; scenario labels</t>
  </si>
  <si>
    <t xml:space="preserve">SHEET INDEX</t>
  </si>
  <si>
    <t xml:space="preserve">Inventory_Tracker</t>
  </si>
  <si>
    <t xml:space="preserve">Live stock levels, EOQ, ROP, SS, alert status — update Column L daily</t>
  </si>
  <si>
    <t xml:space="preserve">EOQ_Solver_Model</t>
  </si>
  <si>
    <t xml:space="preserve">Excel Solver optimization model + Scenario Manager (3 scenarios)</t>
  </si>
  <si>
    <t xml:space="preserve">Demand_Trends</t>
  </si>
  <si>
    <t xml:space="preserve">12-month sales data, MoM growth, peak months, trend chart</t>
  </si>
  <si>
    <t xml:space="preserve">Supplier_LeadTime</t>
  </si>
  <si>
    <t xml:space="preserve">Supplier names, agreed vs actual lead times, on-time delivery %</t>
  </si>
  <si>
    <t xml:space="preserve">SQL_Export_Preview</t>
  </si>
  <si>
    <t xml:space="preserve">Sample output from vw_inventory_dashboard SQL view</t>
  </si>
  <si>
    <t xml:space="preserve">KPI_Dashboard</t>
  </si>
  <si>
    <t xml:space="preserve">Aggregated KPIs pulling live from Inventory_Tracker</t>
  </si>
  <si>
    <t xml:space="preserve">SQL CONNECTION NOTES</t>
  </si>
  <si>
    <t xml:space="preserve">PostgreSQL connection</t>
  </si>
  <si>
    <t xml:space="preserve">See sql/postgresql/schema.sql for table setup, sql/views/ for Power BI views</t>
  </si>
  <si>
    <t xml:space="preserve">MySQL connection</t>
  </si>
  <si>
    <t xml:space="preserve">See sql/mysql/schema.sql for MySQL-compatible DDL</t>
  </si>
  <si>
    <t xml:space="preserve">Power BI query</t>
  </si>
  <si>
    <t xml:space="preserve">Import sql/queries/powerbi_queries.sql — connects via DirectQuery</t>
  </si>
  <si>
    <t xml:space="preserve">Tableau connection</t>
  </si>
  <si>
    <t xml:space="preserve">Use sql/queries/tableau_queries.sql with JDBC/ODBC connection</t>
  </si>
  <si>
    <t xml:space="preserve">KEY FORMULAS</t>
  </si>
  <si>
    <t xml:space="preserve">SQRT(2 x Annual Demand x Ordering Cost / Holding Cost per unit)</t>
  </si>
  <si>
    <t xml:space="preserve">Safety Stock</t>
  </si>
  <si>
    <t xml:space="preserve">Z-score x StdDev(demand) x SQRT(Lead Time / 30)</t>
  </si>
  <si>
    <t xml:space="preserve">Reorder Point</t>
  </si>
  <si>
    <t xml:space="preserve">(Daily Demand x Lead Time) + Safety Stock</t>
  </si>
  <si>
    <t xml:space="preserve">Days of Supply</t>
  </si>
  <si>
    <t xml:space="preserve">Current Stock / Daily Demand</t>
  </si>
  <si>
    <t xml:space="preserve">Stockout Risk</t>
  </si>
  <si>
    <t xml:space="preserve">MAX(0, 1 - Current Stock / Reorder Point)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</si>
</sst>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;\(#,##0.0\);\-"/>
    <numFmt numFmtId="168" formatCode="#,##0;\(#,##0\);\-"/>
    <numFmt numFmtId="169" formatCode="#,##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D4A017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D4A01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  <font>
      <sz val="9"/>
      <color rgb="FFFFFFFF"/>
      <name val="Courier New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E67E22"/>
      <name val="Arial"/>
      <family val="0"/>
      <charset val="1"/>
    </font>
    <font>
      <b val="true"/>
      <sz val="14"/>
      <color rgb="FFD4A017"/>
      <name val="Arial"/>
      <family val="0"/>
      <charset val="1"/>
    </font>
    <font>
      <b val="true"/>
      <sz val="14"/>
      <color rgb="FF1A7A6E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1E844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4F7CB5"/>
      </patternFill>
    </fill>
    <fill>
      <patternFill patternType="solid">
        <fgColor rgb="FFD6E4F7"/>
        <bgColor rgb="FFD5F0ED"/>
      </patternFill>
    </fill>
    <fill>
      <patternFill patternType="solid">
        <fgColor rgb="FFFFFF00"/>
        <bgColor rgb="FFFFF3CD"/>
      </patternFill>
    </fill>
    <fill>
      <patternFill patternType="solid">
        <fgColor rgb="FFFFFFFF"/>
        <bgColor rgb="FFF2F2F2"/>
      </patternFill>
    </fill>
    <fill>
      <patternFill patternType="solid">
        <fgColor rgb="FFD5F0ED"/>
        <bgColor rgb="FFD5F5E3"/>
      </patternFill>
    </fill>
    <fill>
      <patternFill patternType="solid">
        <fgColor rgb="FFD5F5E3"/>
        <bgColor rgb="FFD5F0ED"/>
      </patternFill>
    </fill>
    <fill>
      <patternFill patternType="solid">
        <fgColor rgb="FFF2F2F2"/>
        <bgColor rgb="FFFFFFFF"/>
      </patternFill>
    </fill>
    <fill>
      <patternFill patternType="solid">
        <fgColor rgb="FF1A7A6E"/>
        <bgColor rgb="FF1E8449"/>
      </patternFill>
    </fill>
    <fill>
      <patternFill patternType="solid">
        <fgColor rgb="FFFFF3CD"/>
        <bgColor rgb="FFF2F2F2"/>
      </patternFill>
    </fill>
    <fill>
      <patternFill patternType="solid">
        <fgColor rgb="FFFADBD8"/>
        <bgColor rgb="FFF6D5C5"/>
      </patternFill>
    </fill>
    <fill>
      <patternFill patternType="solid">
        <fgColor rgb="FF2D2D2D"/>
        <bgColor rgb="FF1B2A4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7B35"/>
      <rgbColor rgb="FFCFCAD8"/>
      <rgbColor rgb="FF0000FF"/>
      <rgbColor rgb="FFFFFF00"/>
      <rgbColor rgb="FFD29F9E"/>
      <rgbColor rgb="FFC5DBE3"/>
      <rgbColor rgb="FFB36B2D"/>
      <rgbColor rgb="FF3B6597"/>
      <rgbColor rgb="FFF6D5C5"/>
      <rgbColor rgb="FF7B9544"/>
      <rgbColor rgb="FFC16361"/>
      <rgbColor rgb="FF1A7A6E"/>
      <rgbColor rgb="FFBFBFBF"/>
      <rgbColor rgb="FF8C8496"/>
      <rgbColor rgb="FFA8ABCB"/>
      <rgbColor rgb="FF993B39"/>
      <rgbColor rgb="FFFFF3CD"/>
      <rgbColor rgb="FFD5F0ED"/>
      <rgbColor rgb="FFF5B99C"/>
      <rgbColor rgb="FFF59A5B"/>
      <rgbColor rgb="FF2E75B6"/>
      <rgbColor rgb="FFC0D1DF"/>
      <rgbColor rgb="FFFADBD8"/>
      <rgbColor rgb="FFDAB3B3"/>
      <rgbColor rgb="FFC6D5AC"/>
      <rgbColor rgb="FFD6E0C7"/>
      <rgbColor rgb="FFCB8483"/>
      <rgbColor rgb="FFE08439"/>
      <rgbColor rgb="FF37899F"/>
      <rgbColor rgb="FFD9D9D9"/>
      <rgbColor rgb="FF77AECB"/>
      <rgbColor rgb="FFD6E4F7"/>
      <rgbColor rgb="FFD5F5E3"/>
      <rgbColor rgb="FFF2F2F2"/>
      <rgbColor rgb="FFA9C5D8"/>
      <rgbColor rgb="FFF5AB81"/>
      <rgbColor rgb="FFC1B9CE"/>
      <rgbColor rgb="FFF6C7B1"/>
      <rgbColor rgb="FF4472C4"/>
      <rgbColor rgb="FF40A0B9"/>
      <rgbColor rgb="FFA8C379"/>
      <rgbColor rgb="FFD4A017"/>
      <rgbColor rgb="FFEE8D3E"/>
      <rgbColor rgb="FFE67E22"/>
      <rgbColor rgb="FF755A95"/>
      <rgbColor rgb="FF8FAE50"/>
      <rgbColor rgb="FF1B2A4A"/>
      <rgbColor rgb="FF1E8449"/>
      <rgbColor rgb="FFE1C6C6"/>
      <rgbColor rgb="FF4F7CB5"/>
      <rgbColor rgb="FFC0392B"/>
      <rgbColor rgb="FFB34643"/>
      <rgbColor rgb="FF654E81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Demand Trends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Demand_Trends!$B$5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1e8449"/>
            </a:solidFill>
            <a:ln w="2196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Demand_Trends!$C$5</c:f>
              <c:numCache>
                <c:formatCode>#,##0;\(#,##0\);\-</c:formatCode>
                <c:ptCount val="1"/>
                <c:pt idx="0">
                  <c:v>390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1a7a6e"/>
            </a:solidFill>
            <a:ln w="21960">
              <a:solidFill>
                <a:srgbClr val="1a7a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Demand_Trends!$D$5</c:f>
              <c:numCache>
                <c:formatCode>#,##0;\(#,##0\);\-</c:formatCode>
                <c:ptCount val="1"/>
                <c:pt idx="0">
                  <c:v>410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d4a017"/>
            </a:solidFill>
            <a:ln w="21960">
              <a:solidFill>
                <a:srgbClr val="d4a01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Demand_Trends!$E$5</c:f>
              <c:numCache>
                <c:formatCode>#,##0;\(#,##0\);\-</c:formatCode>
                <c:ptCount val="1"/>
                <c:pt idx="0">
                  <c:v>450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Demand_Trends!$F$5</c:f>
              <c:numCache>
                <c:formatCode>#,##0;\(#,##0\);\-</c:formatCode>
                <c:ptCount val="1"/>
                <c:pt idx="0">
                  <c:v>470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9642b"/>
            </a:solidFill>
            <a:ln w="47520">
              <a:solidFill>
                <a:srgbClr val="a964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Demand_Trends!$G$5</c:f>
              <c:numCache>
                <c:formatCode>#,##0;\(#,##0\);\-</c:formatCode>
                <c:ptCount val="1"/>
                <c:pt idx="0">
                  <c:v>500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96090"/>
            </a:solidFill>
            <a:ln w="47520">
              <a:solidFill>
                <a:srgbClr val="3960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Demand_Trends!$H$5</c:f>
              <c:numCache>
                <c:formatCode>#,##0;\(#,##0\);\-</c:formatCode>
                <c:ptCount val="1"/>
                <c:pt idx="0">
                  <c:v>520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23937"/>
            </a:solidFill>
            <a:ln w="4752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Demand_Trends!$I$5</c:f>
              <c:numCache>
                <c:formatCode>#,##0;\(#,##0\);\-</c:formatCode>
                <c:ptCount val="1"/>
                <c:pt idx="0">
                  <c:v>540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58e40"/>
            </a:solidFill>
            <a:ln w="4752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Demand_Trends!$J$5</c:f>
              <c:numCache>
                <c:formatCode>#,##0;\(#,##0\);\-</c:formatCode>
                <c:ptCount val="1"/>
                <c:pt idx="0">
                  <c:v>510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04a7b"/>
            </a:solidFill>
            <a:ln w="4752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Demand_Trends!$K$5</c:f>
              <c:numCache>
                <c:formatCode>#,##0;\(#,##0\);\-</c:formatCode>
                <c:ptCount val="1"/>
                <c:pt idx="0">
                  <c:v>580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68397"/>
            </a:solidFill>
            <a:ln w="47520">
              <a:solidFill>
                <a:srgbClr val="36839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Demand_Trends!$L$5</c:f>
              <c:numCache>
                <c:formatCode>#,##0;\(#,##0\);\-</c:formatCode>
                <c:ptCount val="1"/>
                <c:pt idx="0">
                  <c:v>720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d7131"/>
            </a:solidFill>
            <a:ln w="47520">
              <a:solidFill>
                <a:srgbClr val="bd71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Demand_Trends!$M$5</c:f>
              <c:numCache>
                <c:formatCode>#,##0;\(#,##0\);\-</c:formatCode>
                <c:ptCount val="1"/>
                <c:pt idx="0">
                  <c:v>850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e6a9e"/>
            </a:solidFill>
            <a:ln w="47520">
              <a:solidFill>
                <a:srgbClr val="3e6a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Demand_Trends!$B$6</c:f>
              <c:numCache>
                <c:formatCode>#,##0;\(#,##0\);\-</c:formatCode>
                <c:ptCount val="1"/>
                <c:pt idx="0">
                  <c:v>310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03f3d"/>
            </a:solidFill>
            <a:ln w="4752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Demand_Trends!$C$6</c:f>
              <c:numCache>
                <c:formatCode>#,##0;\(#,##0\);\-</c:formatCode>
                <c:ptCount val="1"/>
                <c:pt idx="0">
                  <c:v>290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19c47"/>
            </a:solidFill>
            <a:ln w="47520">
              <a:solidFill>
                <a:srgbClr val="819c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Demand_Trends!$D$6</c:f>
              <c:numCache>
                <c:formatCode>#,##0;\(#,##0\);\-</c:formatCode>
                <c:ptCount val="1"/>
                <c:pt idx="0">
                  <c:v>320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95186"/>
            </a:solidFill>
            <a:ln w="47520">
              <a:solidFill>
                <a:srgbClr val="6951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Demand_Trends!$E$6</c:f>
              <c:numCache>
                <c:formatCode>#,##0;\(#,##0\);\-</c:formatCode>
                <c:ptCount val="1"/>
                <c:pt idx="0">
                  <c:v>380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a8ea6"/>
            </a:solidFill>
            <a:ln w="47520">
              <a:solidFill>
                <a:srgbClr val="3a8e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Demand_Trends!$F$6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07b35"/>
            </a:solidFill>
            <a:ln w="47520">
              <a:solidFill>
                <a:srgbClr val="d07b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Demand_Trends!$G$6</c:f>
              <c:numCache>
                <c:formatCode>#,##0;\(#,##0\);\-</c:formatCode>
                <c:ptCount val="1"/>
                <c:pt idx="0">
                  <c:v>460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472aa"/>
            </a:solidFill>
            <a:ln w="47520">
              <a:solidFill>
                <a:srgbClr val="4472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Demand_Trends!$H$6</c:f>
              <c:numCache>
                <c:formatCode>#,##0;\(#,##0\);\-</c:formatCode>
                <c:ptCount val="1"/>
                <c:pt idx="0">
                  <c:v>480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e4441"/>
            </a:solidFill>
            <a:ln w="4752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Demand_Trends!$I$6</c:f>
              <c:numCache>
                <c:formatCode>#,##0;\(#,##0\);\-</c:formatCode>
                <c:ptCount val="1"/>
                <c:pt idx="0">
                  <c:v>500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aa84d"/>
            </a:solidFill>
            <a:ln w="47520">
              <a:solidFill>
                <a:srgbClr val="8aa8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Demand_Trends!$J$6</c:f>
              <c:numCache>
                <c:formatCode>#,##0;\(#,##0\);\-</c:formatCode>
                <c:ptCount val="1"/>
                <c:pt idx="0">
                  <c:v>440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15790"/>
            </a:solidFill>
            <a:ln w="47520">
              <a:solidFill>
                <a:srgbClr val="71579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Demand_Trends!$K$6</c:f>
              <c:numCache>
                <c:formatCode>#,##0;\(#,##0\);\-</c:formatCode>
                <c:ptCount val="1"/>
                <c:pt idx="0">
                  <c:v>390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f9ab3"/>
            </a:solidFill>
            <a:ln w="47520">
              <a:solidFill>
                <a:srgbClr val="3f9a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Demand_Trends!$L$6</c:f>
              <c:numCache>
                <c:formatCode>#,##0;\(#,##0\);\-</c:formatCode>
                <c:ptCount val="1"/>
                <c:pt idx="0">
                  <c:v>550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08439"/>
            </a:solidFill>
            <a:ln w="47520">
              <a:solidFill>
                <a:srgbClr val="e0843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Demand_Trends!$M$6</c:f>
              <c:numCache>
                <c:formatCode>#,##0;\(#,##0\);\-</c:formatCode>
                <c:ptCount val="1"/>
                <c:pt idx="0">
                  <c:v>680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77ab5"/>
            </a:solidFill>
            <a:ln w="47520">
              <a:solidFill>
                <a:srgbClr val="477a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Demand_Trends!$B$7</c:f>
              <c:numCache>
                <c:formatCode>#,##0;\(#,##0\);\-</c:formatCode>
                <c:ptCount val="1"/>
                <c:pt idx="0">
                  <c:v>280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84845"/>
            </a:solidFill>
            <a:ln w="4752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Demand_Trends!$C$7</c:f>
              <c:numCache>
                <c:formatCode>#,##0;\(#,##0\);\-</c:formatCode>
                <c:ptCount val="1"/>
                <c:pt idx="0">
                  <c:v>260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93b352"/>
            </a:solidFill>
            <a:ln w="47520">
              <a:solidFill>
                <a:srgbClr val="93b35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Demand_Trends!$D$7</c:f>
              <c:numCache>
                <c:formatCode>#,##0;\(#,##0\);\-</c:formatCode>
                <c:ptCount val="1"/>
                <c:pt idx="0">
                  <c:v>275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95d9a"/>
            </a:solidFill>
            <a:ln w="47520">
              <a:solidFill>
                <a:srgbClr val="795d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Demand_Trends!$E$7</c:f>
              <c:numCache>
                <c:formatCode>#,##0;\(#,##0\);\-</c:formatCode>
                <c:ptCount val="1"/>
                <c:pt idx="0">
                  <c:v>310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3a5be"/>
            </a:solidFill>
            <a:ln w="47520">
              <a:solidFill>
                <a:srgbClr val="43a5b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Demand_Trends!$F$7</c:f>
              <c:numCache>
                <c:formatCode>#,##0;\(#,##0\);\-</c:formatCode>
                <c:ptCount val="1"/>
                <c:pt idx="0">
                  <c:v>340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e8d3e"/>
            </a:solidFill>
            <a:ln w="47520">
              <a:solidFill>
                <a:srgbClr val="ee8d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Demand_Trends!$G$7</c:f>
              <c:numCache>
                <c:formatCode>#,##0;\(#,##0\);\-</c:formatCode>
                <c:ptCount val="1"/>
                <c:pt idx="0">
                  <c:v>360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6289bf"/>
            </a:solidFill>
            <a:ln w="47520">
              <a:solidFill>
                <a:srgbClr val="6289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Demand_Trends!$H$7</c:f>
              <c:numCache>
                <c:formatCode>#,##0;\(#,##0\);\-</c:formatCode>
                <c:ptCount val="1"/>
                <c:pt idx="0">
                  <c:v>370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16361"/>
            </a:solidFill>
            <a:ln w="4752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Demand_Trends!$I$7</c:f>
              <c:numCache>
                <c:formatCode>#,##0;\(#,##0\);\-</c:formatCode>
                <c:ptCount val="1"/>
                <c:pt idx="0">
                  <c:v>380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a0bd69"/>
            </a:solidFill>
            <a:ln w="47520">
              <a:solidFill>
                <a:srgbClr val="a0bd6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Demand_Trends!$J$7</c:f>
              <c:numCache>
                <c:formatCode>#,##0;\(#,##0\);\-</c:formatCode>
                <c:ptCount val="1"/>
                <c:pt idx="0">
                  <c:v>350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8872a6"/>
            </a:solidFill>
            <a:ln w="47520">
              <a:solidFill>
                <a:srgbClr val="8872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Demand_Trends!$K$7</c:f>
              <c:numCache>
                <c:formatCode>#,##0;\(#,##0\);\-</c:formatCode>
                <c:ptCount val="1"/>
                <c:pt idx="0">
                  <c:v>400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60afc7"/>
            </a:solidFill>
            <a:ln w="47520">
              <a:solidFill>
                <a:srgbClr val="60af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Demand_Trends!$L$7</c:f>
              <c:numCache>
                <c:formatCode>#,##0;\(#,##0\);\-</c:formatCode>
                <c:ptCount val="1"/>
                <c:pt idx="0">
                  <c:v>490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9a5b"/>
            </a:solidFill>
            <a:ln w="47520">
              <a:solidFill>
                <a:srgbClr val="f59a5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Demand_Trends!$M$7</c:f>
              <c:numCache>
                <c:formatCode>#,##0;\(#,##0\);\-</c:formatCode>
                <c:ptCount val="1"/>
                <c:pt idx="0">
                  <c:v>580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849fc8"/>
            </a:solidFill>
            <a:ln w="47520">
              <a:solidFill>
                <a:srgbClr val="849fc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Demand_Trends!$B$8</c:f>
              <c:numCache>
                <c:formatCode>#,##0;\(#,##0\);\-</c:formatCode>
                <c:ptCount val="1"/>
                <c:pt idx="0">
                  <c:v>190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b8483"/>
            </a:solidFill>
            <a:ln w="4752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Demand_Trends!$C$8</c:f>
              <c:numCache>
                <c:formatCode>#,##0;\(#,##0\);\-</c:formatCode>
                <c:ptCount val="1"/>
                <c:pt idx="0">
                  <c:v>180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afc689"/>
            </a:solidFill>
            <a:ln w="47520">
              <a:solidFill>
                <a:srgbClr val="afc6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Demand_Trends!$D$8</c:f>
              <c:numCache>
                <c:formatCode>#,##0;\(#,##0\);\-</c:formatCode>
                <c:ptCount val="1"/>
                <c:pt idx="0">
                  <c:v>210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9e8eb4"/>
            </a:solidFill>
            <a:ln w="47520">
              <a:solidFill>
                <a:srgbClr val="9e8e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Demand_Trends!$E$8</c:f>
              <c:numCache>
                <c:formatCode>#,##0;\(#,##0\);\-</c:formatCode>
                <c:ptCount val="1"/>
                <c:pt idx="0">
                  <c:v>280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82bbcf"/>
            </a:solidFill>
            <a:ln w="47520">
              <a:solidFill>
                <a:srgbClr val="82bb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Demand_Trends!$F$8</c:f>
              <c:numCache>
                <c:formatCode>#,##0;\(#,##0\);\-</c:formatCode>
                <c:ptCount val="1"/>
                <c:pt idx="0">
                  <c:v>350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ab81"/>
            </a:solidFill>
            <a:ln w="47520">
              <a:solidFill>
                <a:srgbClr val="f5ab8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Demand_Trends!$G$8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9fb1d0"/>
            </a:solidFill>
            <a:ln w="47520">
              <a:solidFill>
                <a:srgbClr val="9fb1d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Demand_Trends!$H$8</c:f>
              <c:numCache>
                <c:formatCode>#,##0;\(#,##0\);\-</c:formatCode>
                <c:ptCount val="1"/>
                <c:pt idx="0">
                  <c:v>460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d29f9e"/>
            </a:solidFill>
            <a:ln w="4752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Demand_Trends!$I$8</c:f>
              <c:numCache>
                <c:formatCode>#,##0;\(#,##0\);\-</c:formatCode>
                <c:ptCount val="1"/>
                <c:pt idx="0">
                  <c:v>440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bdcfa2"/>
            </a:solidFill>
            <a:ln w="47520">
              <a:solidFill>
                <a:srgbClr val="bdcf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Demand_Trends!$J$8</c:f>
              <c:numCache>
                <c:formatCode>#,##0;\(#,##0\);\-</c:formatCode>
                <c:ptCount val="1"/>
                <c:pt idx="0">
                  <c:v>380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b1a5c1"/>
            </a:solidFill>
            <a:ln w="47520">
              <a:solidFill>
                <a:srgbClr val="b1a5c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Demand_Trends!$K$8</c:f>
              <c:numCache>
                <c:formatCode>#,##0;\(#,##0\);\-</c:formatCode>
                <c:ptCount val="1"/>
                <c:pt idx="0">
                  <c:v>310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9ec7d6"/>
            </a:solidFill>
            <a:ln w="47520">
              <a:solidFill>
                <a:srgbClr val="9ec7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Demand_Trends!$L$8</c:f>
              <c:numCache>
                <c:formatCode>#,##0;\(#,##0\);\-</c:formatCode>
                <c:ptCount val="1"/>
                <c:pt idx="0">
                  <c:v>250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b99c"/>
            </a:solidFill>
            <a:ln w="47520">
              <a:solidFill>
                <a:srgbClr val="f5b99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Demand_Trends!$M$8</c:f>
              <c:numCache>
                <c:formatCode>#,##0;\(#,##0\);\-</c:formatCode>
                <c:ptCount val="1"/>
                <c:pt idx="0">
                  <c:v>220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b3c1d9"/>
            </a:solidFill>
            <a:ln w="47520">
              <a:solidFill>
                <a:srgbClr val="b3c1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Demand_Trends!$B$9</c:f>
              <c:numCache>
                <c:formatCode>#,##0;\(#,##0\);\-</c:formatCode>
                <c:ptCount val="1"/>
                <c:pt idx="0">
                  <c:v>350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dab3b3"/>
            </a:solidFill>
            <a:ln w="4752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Demand_Trends!$C$9</c:f>
              <c:numCache>
                <c:formatCode>#,##0;\(#,##0\);\-</c:formatCode>
                <c:ptCount val="1"/>
                <c:pt idx="0">
                  <c:v>330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cad8b5"/>
            </a:solidFill>
            <a:ln w="47520">
              <a:solidFill>
                <a:srgbClr val="cad8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Demand_Trends!$D$9</c:f>
              <c:numCache>
                <c:formatCode>#,##0;\(#,##0\);\-</c:formatCode>
                <c:ptCount val="1"/>
                <c:pt idx="0">
                  <c:v>355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c1b9ce"/>
            </a:solidFill>
            <a:ln w="47520">
              <a:solidFill>
                <a:srgbClr val="c1b9c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Demand_Trends!$E$9</c:f>
              <c:numCache>
                <c:formatCode>#,##0;\(#,##0\);\-</c:formatCode>
                <c:ptCount val="1"/>
                <c:pt idx="0">
                  <c:v>370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b3d1dd"/>
            </a:solidFill>
            <a:ln w="47520">
              <a:solidFill>
                <a:srgbClr val="b3d1d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Demand_Trends!$F$9</c:f>
              <c:numCache>
                <c:formatCode>#,##0;\(#,##0\);\-</c:formatCode>
                <c:ptCount val="1"/>
                <c:pt idx="0">
                  <c:v>390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6c7b1"/>
            </a:solidFill>
            <a:ln w="47520">
              <a:solidFill>
                <a:srgbClr val="f6c7b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Demand_Trends!$G$9</c:f>
              <c:numCache>
                <c:formatCode>#,##0;\(#,##0\);\-</c:formatCode>
                <c:ptCount val="1"/>
                <c:pt idx="0">
                  <c:v>410</c:v>
                </c:pt>
              </c:numCache>
            </c:numRef>
          </c:val>
          <c:smooth val="1"/>
        </c:ser>
        <c:ser>
          <c:idx val="54"/>
          <c:order val="54"/>
          <c:spPr>
            <a:solidFill>
              <a:srgbClr val="c6d0e0"/>
            </a:solidFill>
            <a:ln w="47520">
              <a:solidFill>
                <a:srgbClr val="c6d0e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Demand_Trends!$H$9</c:f>
              <c:numCache>
                <c:formatCode>#,##0;\(#,##0\);\-</c:formatCode>
                <c:ptCount val="1"/>
                <c:pt idx="0">
                  <c:v>420</c:v>
                </c:pt>
              </c:numCache>
            </c:numRef>
          </c:val>
          <c:smooth val="1"/>
        </c:ser>
        <c:ser>
          <c:idx val="55"/>
          <c:order val="55"/>
          <c:spPr>
            <a:solidFill>
              <a:srgbClr val="e1c6c6"/>
            </a:solidFill>
            <a:ln w="4752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Demand_Trends!$I$9</c:f>
              <c:numCache>
                <c:formatCode>#,##0;\(#,##0\);\-</c:formatCode>
                <c:ptCount val="1"/>
                <c:pt idx="0">
                  <c:v>430</c:v>
                </c:pt>
              </c:numCache>
            </c:numRef>
          </c:val>
          <c:smooth val="1"/>
        </c:ser>
        <c:ser>
          <c:idx val="56"/>
          <c:order val="56"/>
          <c:spPr>
            <a:solidFill>
              <a:srgbClr val="d6e0c7"/>
            </a:solidFill>
            <a:ln w="47520">
              <a:solidFill>
                <a:srgbClr val="d6e0c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Demand_Trends!$J$9</c:f>
              <c:numCache>
                <c:formatCode>#,##0;\(#,##0\);\-</c:formatCode>
                <c:ptCount val="1"/>
                <c:pt idx="0">
                  <c:v>415</c:v>
                </c:pt>
              </c:numCache>
            </c:numRef>
          </c:val>
          <c:smooth val="1"/>
        </c:ser>
        <c:ser>
          <c:idx val="57"/>
          <c:order val="57"/>
          <c:spPr>
            <a:solidFill>
              <a:srgbClr val="cfcad8"/>
            </a:solidFill>
            <a:ln w="47520">
              <a:solidFill>
                <a:srgbClr val="cfcad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Demand_Trends!$K$9</c:f>
              <c:numCache>
                <c:formatCode>#,##0;\(#,##0\);\-</c:formatCode>
                <c:ptCount val="1"/>
                <c:pt idx="0">
                  <c:v>440</c:v>
                </c:pt>
              </c:numCache>
            </c:numRef>
          </c:val>
          <c:smooth val="1"/>
        </c:ser>
        <c:ser>
          <c:idx val="58"/>
          <c:order val="58"/>
          <c:spPr>
            <a:solidFill>
              <a:srgbClr val="c5dbe3"/>
            </a:solidFill>
            <a:ln w="47520">
              <a:solidFill>
                <a:srgbClr val="c5dbe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Demand_Trends!$L$9</c:f>
              <c:numCache>
                <c:formatCode>#,##0;\(#,##0\);\-</c:formatCode>
                <c:ptCount val="1"/>
                <c:pt idx="0">
                  <c:v>510</c:v>
                </c:pt>
              </c:numCache>
            </c:numRef>
          </c:val>
          <c:smooth val="1"/>
        </c:ser>
        <c:ser>
          <c:idx val="59"/>
          <c:order val="59"/>
          <c:spPr>
            <a:solidFill>
              <a:srgbClr val="f6d5c5"/>
            </a:solidFill>
            <a:ln w="47520">
              <a:solidFill>
                <a:srgbClr val="f6d5c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Demand_Trends!$B$4:$M$4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Demand_Trends!$M$9</c:f>
              <c:numCache>
                <c:formatCode>#,##0;\(#,##0\);\-</c:formatCode>
                <c:ptCount val="1"/>
                <c:pt idx="0">
                  <c:v>560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45333"/>
        <c:axId val="99474250"/>
      </c:lineChart>
      <c:catAx>
        <c:axId val="682453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74250"/>
        <c:crosses val="autoZero"/>
        <c:auto val="1"/>
        <c:lblAlgn val="ctr"/>
        <c:lblOffset val="100"/>
        <c:noMultiLvlLbl val="0"/>
      </c:catAx>
      <c:valAx>
        <c:axId val="99474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45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14</xdr:col>
      <xdr:colOff>140760</xdr:colOff>
      <xdr:row>40</xdr:row>
      <xdr:rowOff>86400</xdr:rowOff>
    </xdr:to>
    <xdr:graphicFrame>
      <xdr:nvGraphicFramePr>
        <xdr:cNvPr id="0" name="Chart 1"/>
        <xdr:cNvGraphicFramePr/>
      </xdr:nvGraphicFramePr>
      <xdr:xfrm>
        <a:off x="0" y="3400560"/>
        <a:ext cx="1007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10" min="3" style="1" width="14"/>
    <col collapsed="false" customWidth="true" hidden="false" outlineLevel="0" max="11" min="11" style="1" width="18"/>
    <col collapsed="false" customWidth="true" hidden="false" outlineLevel="0" max="12" min="12" style="1" width="2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9.5" hidden="false" customHeight="true" outlineLevel="0" collapsed="false">
      <c r="A5" s="5" t="s">
        <v>3</v>
      </c>
      <c r="B5" s="6" t="n">
        <v>250</v>
      </c>
      <c r="D5" s="5" t="s">
        <v>4</v>
      </c>
      <c r="E5" s="6" t="n">
        <v>14</v>
      </c>
      <c r="G5" s="5" t="s">
        <v>5</v>
      </c>
      <c r="H5" s="6" t="n">
        <v>1.65</v>
      </c>
      <c r="J5" s="5" t="s">
        <v>6</v>
      </c>
      <c r="K5" s="6" t="n">
        <v>2500</v>
      </c>
    </row>
    <row r="6" customFormat="false" ht="15.75" hidden="false" customHeight="true" outlineLevel="0" collapsed="false"/>
    <row r="8" customFormat="false" ht="25.5" hidden="false" customHeight="true" outlineLevel="0" collapsed="false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</row>
    <row r="9" customFormat="false" ht="19.5" hidden="false" customHeight="true" outlineLevel="0" collapsed="false">
      <c r="A9" s="8" t="n">
        <v>1</v>
      </c>
      <c r="B9" s="9" t="s">
        <v>19</v>
      </c>
      <c r="C9" s="8" t="s">
        <v>20</v>
      </c>
      <c r="D9" s="10" t="n">
        <v>4500</v>
      </c>
      <c r="E9" s="11" t="n">
        <v>0.2</v>
      </c>
      <c r="F9" s="12" t="n">
        <f aca="false">D9*E9</f>
        <v>900</v>
      </c>
      <c r="G9" s="10" t="n">
        <v>6060</v>
      </c>
      <c r="H9" s="10" t="n">
        <v>88</v>
      </c>
      <c r="I9" s="13" t="n">
        <f aca="false">IFERROR(ROUND(SQRT(2*G9*$H$5/F9),0),0)</f>
        <v>5</v>
      </c>
      <c r="J9" s="14" t="n">
        <v>99</v>
      </c>
      <c r="K9" s="15" t="n">
        <v>438</v>
      </c>
      <c r="L9" s="16" t="n">
        <v>850</v>
      </c>
    </row>
    <row r="10" customFormat="false" ht="19.5" hidden="false" customHeight="true" outlineLevel="0" collapsed="false">
      <c r="A10" s="17" t="n">
        <v>2</v>
      </c>
      <c r="B10" s="18" t="s">
        <v>21</v>
      </c>
      <c r="C10" s="17" t="s">
        <v>22</v>
      </c>
      <c r="D10" s="19" t="n">
        <v>850</v>
      </c>
      <c r="E10" s="20" t="n">
        <v>0.25</v>
      </c>
      <c r="F10" s="21" t="n">
        <f aca="false">D10*E10</f>
        <v>212.5</v>
      </c>
      <c r="G10" s="19" t="n">
        <v>4980</v>
      </c>
      <c r="H10" s="19" t="n">
        <v>72</v>
      </c>
      <c r="I10" s="13" t="n">
        <f aca="false">IFERROR(ROUND(SQRT(2*G10*$H$5/F10),0),0)</f>
        <v>9</v>
      </c>
      <c r="J10" s="14" t="n">
        <v>81</v>
      </c>
      <c r="K10" s="15" t="n">
        <v>360</v>
      </c>
      <c r="L10" s="16" t="n">
        <v>420</v>
      </c>
    </row>
    <row r="11" customFormat="false" ht="19.5" hidden="false" customHeight="true" outlineLevel="0" collapsed="false">
      <c r="A11" s="8" t="n">
        <v>3</v>
      </c>
      <c r="B11" s="9" t="s">
        <v>23</v>
      </c>
      <c r="C11" s="8" t="s">
        <v>24</v>
      </c>
      <c r="D11" s="10" t="n">
        <v>1200</v>
      </c>
      <c r="E11" s="11" t="n">
        <v>0.22</v>
      </c>
      <c r="F11" s="12" t="n">
        <f aca="false">D11*E11</f>
        <v>264</v>
      </c>
      <c r="G11" s="10" t="n">
        <v>4200</v>
      </c>
      <c r="H11" s="10" t="n">
        <v>55</v>
      </c>
      <c r="I11" s="13" t="n">
        <f aca="false">IFERROR(ROUND(SQRT(2*G11*$H$5/F11),0),0)</f>
        <v>7</v>
      </c>
      <c r="J11" s="14" t="n">
        <v>62</v>
      </c>
      <c r="K11" s="15" t="n">
        <v>297</v>
      </c>
      <c r="L11" s="16" t="n">
        <v>320</v>
      </c>
    </row>
    <row r="12" customFormat="false" ht="19.5" hidden="false" customHeight="true" outlineLevel="0" collapsed="false">
      <c r="A12" s="17" t="n">
        <v>4</v>
      </c>
      <c r="B12" s="18" t="s">
        <v>25</v>
      </c>
      <c r="C12" s="17" t="s">
        <v>26</v>
      </c>
      <c r="D12" s="19" t="n">
        <v>2200</v>
      </c>
      <c r="E12" s="20" t="n">
        <v>0.18</v>
      </c>
      <c r="F12" s="21" t="n">
        <f aca="false">D12*E12</f>
        <v>396</v>
      </c>
      <c r="G12" s="19" t="n">
        <v>3690</v>
      </c>
      <c r="H12" s="19" t="n">
        <v>100</v>
      </c>
      <c r="I12" s="13" t="n">
        <f aca="false">IFERROR(ROUND(SQRT(2*G12*$H$5/F12),0),0)</f>
        <v>6</v>
      </c>
      <c r="J12" s="14" t="n">
        <v>113</v>
      </c>
      <c r="K12" s="15" t="n">
        <v>320</v>
      </c>
      <c r="L12" s="16" t="n">
        <v>250</v>
      </c>
    </row>
    <row r="13" customFormat="false" ht="19.5" hidden="false" customHeight="true" outlineLevel="0" collapsed="false">
      <c r="A13" s="8" t="n">
        <v>5</v>
      </c>
      <c r="B13" s="9" t="s">
        <v>27</v>
      </c>
      <c r="C13" s="8" t="s">
        <v>28</v>
      </c>
      <c r="D13" s="10" t="n">
        <v>650</v>
      </c>
      <c r="E13" s="11" t="n">
        <v>0.28</v>
      </c>
      <c r="F13" s="12" t="n">
        <f aca="false">D13*E13</f>
        <v>182</v>
      </c>
      <c r="G13" s="10" t="n">
        <v>4980</v>
      </c>
      <c r="H13" s="10" t="n">
        <v>48</v>
      </c>
      <c r="I13" s="13" t="n">
        <f aca="false">IFERROR(ROUND(SQRT(2*G13*$H$5/F13),0),0)</f>
        <v>10</v>
      </c>
      <c r="J13" s="14" t="n">
        <v>54</v>
      </c>
      <c r="K13" s="15" t="n">
        <v>333</v>
      </c>
      <c r="L13" s="16" t="n">
        <v>510</v>
      </c>
    </row>
    <row r="15" customFormat="false" ht="21.75" hidden="false" customHeight="true" outlineLevel="0" collapsed="false">
      <c r="A15" s="22" t="s">
        <v>29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1.75" hidden="false" customHeight="true" outlineLevel="0" collapsed="false">
      <c r="A16" s="7" t="s">
        <v>7</v>
      </c>
      <c r="B16" s="7" t="s">
        <v>8</v>
      </c>
      <c r="C16" s="7" t="s">
        <v>18</v>
      </c>
      <c r="D16" s="7" t="s">
        <v>17</v>
      </c>
      <c r="E16" s="7" t="s">
        <v>16</v>
      </c>
      <c r="F16" s="7" t="s">
        <v>30</v>
      </c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 t="s">
        <v>36</v>
      </c>
    </row>
    <row r="17" customFormat="false" ht="19.5" hidden="false" customHeight="true" outlineLevel="0" collapsed="false">
      <c r="A17" s="8" t="n">
        <v>1</v>
      </c>
      <c r="B17" s="9" t="s">
        <v>19</v>
      </c>
      <c r="C17" s="23" t="n">
        <f aca="false">L9</f>
        <v>850</v>
      </c>
      <c r="D17" s="24" t="n">
        <v>438</v>
      </c>
      <c r="E17" s="24" t="n">
        <v>99</v>
      </c>
      <c r="F17" s="24" t="n">
        <v>183</v>
      </c>
      <c r="G17" s="25" t="n">
        <f aca="false">IFERROR(ROUND(C17/(24.24),1),0)</f>
        <v>35.1</v>
      </c>
      <c r="H17" s="26" t="n">
        <f aca="false">IFERROR(MAX(0,1-(C17/D17)),1)</f>
        <v>0</v>
      </c>
      <c r="I17" s="27" t="n">
        <f aca="false">MAX(0,C17-(438+183))</f>
        <v>229</v>
      </c>
      <c r="J17" s="28" t="n">
        <f aca="false">I17*900</f>
        <v>206100</v>
      </c>
      <c r="K17" s="29" t="str">
        <f aca="false">IF(C17&lt;99,"🔴 CRITICAL – Below Safety Stock",IF(C17&lt;438,"🟠 REORDER NOW",IF(I17&gt;0,"🟡 EXCESS STOCK","🟢 HEALTHY")))</f>
        <v>🟡 EXCESS STOCK</v>
      </c>
      <c r="L17" s="30" t="str">
        <f aca="false">IF(C17&lt;99,"Emergency order now",IF(C17&lt;438,"Place replenishment order",IF(I17&gt;0,"Run promotion to clear excess","No action needed")))</f>
        <v>Run promotion to clear excess</v>
      </c>
    </row>
    <row r="18" customFormat="false" ht="19.5" hidden="false" customHeight="true" outlineLevel="0" collapsed="false">
      <c r="A18" s="17" t="n">
        <v>2</v>
      </c>
      <c r="B18" s="18" t="s">
        <v>21</v>
      </c>
      <c r="C18" s="31" t="n">
        <f aca="false">L10</f>
        <v>420</v>
      </c>
      <c r="D18" s="32" t="n">
        <v>360</v>
      </c>
      <c r="E18" s="32" t="n">
        <v>81</v>
      </c>
      <c r="F18" s="32" t="n">
        <v>342</v>
      </c>
      <c r="G18" s="33" t="n">
        <f aca="false">IFERROR(ROUND(C18/(19.92),1),0)</f>
        <v>21.1</v>
      </c>
      <c r="H18" s="34" t="n">
        <f aca="false">IFERROR(MAX(0,1-(C18/D18)),1)</f>
        <v>0</v>
      </c>
      <c r="I18" s="35" t="n">
        <f aca="false">MAX(0,C18-(360+342))</f>
        <v>0</v>
      </c>
      <c r="J18" s="28" t="n">
        <f aca="false">I18*212.5</f>
        <v>0</v>
      </c>
      <c r="K18" s="36" t="str">
        <f aca="false">IF(C18&lt;81,"🔴 CRITICAL – Below Safety Stock",IF(C18&lt;360,"🟠 REORDER NOW",IF(I18&gt;0,"🟡 EXCESS STOCK","🟢 HEALTHY")))</f>
        <v>🟢 HEALTHY</v>
      </c>
      <c r="L18" s="37" t="str">
        <f aca="false">IF(C18&lt;81,"Emergency order now",IF(C18&lt;360,"Place replenishment order",IF(I18&gt;0,"Run promotion to clear excess","No action needed")))</f>
        <v>No action needed</v>
      </c>
    </row>
    <row r="19" customFormat="false" ht="19.5" hidden="false" customHeight="true" outlineLevel="0" collapsed="false">
      <c r="A19" s="8" t="n">
        <v>3</v>
      </c>
      <c r="B19" s="9" t="s">
        <v>23</v>
      </c>
      <c r="C19" s="23" t="n">
        <f aca="false">L11</f>
        <v>320</v>
      </c>
      <c r="D19" s="24" t="n">
        <v>297</v>
      </c>
      <c r="E19" s="24" t="n">
        <v>62</v>
      </c>
      <c r="F19" s="24" t="n">
        <v>282</v>
      </c>
      <c r="G19" s="25" t="n">
        <f aca="false">IFERROR(ROUND(C19/(16.8),1),0)</f>
        <v>19</v>
      </c>
      <c r="H19" s="26" t="n">
        <f aca="false">IFERROR(MAX(0,1-(C19/D19)),1)</f>
        <v>0</v>
      </c>
      <c r="I19" s="27" t="n">
        <f aca="false">MAX(0,C19-(297+282))</f>
        <v>0</v>
      </c>
      <c r="J19" s="28" t="n">
        <f aca="false">I19*264</f>
        <v>0</v>
      </c>
      <c r="K19" s="29" t="str">
        <f aca="false">IF(C19&lt;62,"🔴 CRITICAL – Below Safety Stock",IF(C19&lt;297,"🟠 REORDER NOW",IF(I19&gt;0,"🟡 EXCESS STOCK","🟢 HEALTHY")))</f>
        <v>🟢 HEALTHY</v>
      </c>
      <c r="L19" s="30" t="str">
        <f aca="false">IF(C19&lt;62,"Emergency order now",IF(C19&lt;297,"Place replenishment order",IF(I19&gt;0,"Run promotion to clear excess","No action needed")))</f>
        <v>No action needed</v>
      </c>
    </row>
    <row r="20" customFormat="false" ht="19.5" hidden="false" customHeight="true" outlineLevel="0" collapsed="false">
      <c r="A20" s="17" t="n">
        <v>4</v>
      </c>
      <c r="B20" s="18" t="s">
        <v>25</v>
      </c>
      <c r="C20" s="31" t="n">
        <f aca="false">L12</f>
        <v>250</v>
      </c>
      <c r="D20" s="32" t="n">
        <v>320</v>
      </c>
      <c r="E20" s="32" t="n">
        <v>113</v>
      </c>
      <c r="F20" s="32" t="n">
        <v>216</v>
      </c>
      <c r="G20" s="33" t="n">
        <f aca="false">IFERROR(ROUND(C20/(14.76),1),0)</f>
        <v>16.9</v>
      </c>
      <c r="H20" s="34" t="n">
        <f aca="false">IFERROR(MAX(0,1-(C20/D20)),1)</f>
        <v>0.21875</v>
      </c>
      <c r="I20" s="35" t="n">
        <f aca="false">MAX(0,C20-(320+216))</f>
        <v>0</v>
      </c>
      <c r="J20" s="28" t="n">
        <f aca="false">I20*396</f>
        <v>0</v>
      </c>
      <c r="K20" s="36" t="str">
        <f aca="false">IF(C20&lt;113,"🔴 CRITICAL – Below Safety Stock",IF(C20&lt;320,"🟠 REORDER NOW",IF(I20&gt;0,"🟡 EXCESS STOCK","🟢 HEALTHY")))</f>
        <v>🟠 REORDER NOW</v>
      </c>
      <c r="L20" s="37" t="str">
        <f aca="false">IF(C20&lt;113,"Emergency order now",IF(C20&lt;320,"Place replenishment order",IF(I20&gt;0,"Run promotion to clear excess","No action needed")))</f>
        <v>Place replenishment order</v>
      </c>
    </row>
    <row r="21" customFormat="false" ht="19.5" hidden="false" customHeight="true" outlineLevel="0" collapsed="false">
      <c r="A21" s="8" t="n">
        <v>5</v>
      </c>
      <c r="B21" s="9" t="s">
        <v>27</v>
      </c>
      <c r="C21" s="23" t="n">
        <f aca="false">L13</f>
        <v>510</v>
      </c>
      <c r="D21" s="24" t="n">
        <v>333</v>
      </c>
      <c r="E21" s="24" t="n">
        <v>54</v>
      </c>
      <c r="F21" s="24" t="n">
        <v>370</v>
      </c>
      <c r="G21" s="25" t="n">
        <f aca="false">IFERROR(ROUND(C21/(19.92),1),0)</f>
        <v>25.6</v>
      </c>
      <c r="H21" s="26" t="n">
        <f aca="false">IFERROR(MAX(0,1-(C21/D21)),1)</f>
        <v>0</v>
      </c>
      <c r="I21" s="27" t="n">
        <f aca="false">MAX(0,C21-(333+370))</f>
        <v>0</v>
      </c>
      <c r="J21" s="28" t="n">
        <f aca="false">I21*182</f>
        <v>0</v>
      </c>
      <c r="K21" s="29" t="str">
        <f aca="false">IF(C21&lt;54,"🔴 CRITICAL – Below Safety Stock",IF(C21&lt;333,"🟠 REORDER NOW",IF(I21&gt;0,"🟡 EXCESS STOCK","🟢 HEALTHY")))</f>
        <v>🟢 HEALTHY</v>
      </c>
      <c r="L21" s="30" t="str">
        <f aca="false">IF(C21&lt;54,"Emergency order now",IF(C21&lt;333,"Place replenishment order",IF(I21&gt;0,"Run promotion to clear excess","No action needed")))</f>
        <v>No action needed</v>
      </c>
    </row>
  </sheetData>
  <mergeCells count="4">
    <mergeCell ref="A1:L1"/>
    <mergeCell ref="A2:L2"/>
    <mergeCell ref="A4:L4"/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11" min="3" style="1" width="14"/>
  </cols>
  <sheetData>
    <row r="1" customFormat="false" ht="31.5" hidden="false" customHeight="true" outlineLevel="0" collapsed="false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9.5" hidden="false" customHeight="true" outlineLevel="0" collapsed="false">
      <c r="A4" s="38" t="s">
        <v>39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6" customFormat="false" ht="21.75" hidden="false" customHeight="true" outlineLevel="0" collapsed="false">
      <c r="A6" s="39" t="s">
        <v>40</v>
      </c>
      <c r="B6" s="39"/>
      <c r="C6" s="39"/>
      <c r="D6" s="39"/>
      <c r="E6" s="39"/>
      <c r="F6" s="39"/>
      <c r="G6" s="39"/>
      <c r="H6" s="39"/>
      <c r="I6" s="39"/>
      <c r="J6" s="39"/>
      <c r="K6" s="39"/>
    </row>
    <row r="7" customFormat="false" ht="19.5" hidden="false" customHeight="true" outlineLevel="0" collapsed="false">
      <c r="B7" s="40" t="s">
        <v>41</v>
      </c>
      <c r="C7" s="41" t="s">
        <v>42</v>
      </c>
      <c r="E7" s="40" t="s">
        <v>43</v>
      </c>
      <c r="F7" s="41" t="s">
        <v>44</v>
      </c>
      <c r="H7" s="40" t="s">
        <v>45</v>
      </c>
      <c r="I7" s="41" t="s">
        <v>46</v>
      </c>
    </row>
    <row r="9" customFormat="false" ht="24" hidden="false" customHeight="true" outlineLevel="0" collapsed="false">
      <c r="A9" s="7" t="s">
        <v>7</v>
      </c>
      <c r="B9" s="7" t="s">
        <v>8</v>
      </c>
      <c r="C9" s="7" t="s">
        <v>47</v>
      </c>
      <c r="D9" s="7" t="s">
        <v>48</v>
      </c>
      <c r="E9" s="7" t="s">
        <v>12</v>
      </c>
      <c r="F9" s="7" t="s">
        <v>49</v>
      </c>
      <c r="G9" s="7" t="s">
        <v>50</v>
      </c>
      <c r="H9" s="7" t="s">
        <v>51</v>
      </c>
      <c r="I9" s="7" t="s">
        <v>16</v>
      </c>
      <c r="J9" s="7" t="s">
        <v>17</v>
      </c>
      <c r="K9" s="7" t="s">
        <v>52</v>
      </c>
    </row>
    <row r="10" customFormat="false" ht="19.5" hidden="false" customHeight="true" outlineLevel="0" collapsed="false">
      <c r="A10" s="17" t="n">
        <v>1</v>
      </c>
      <c r="B10" s="18" t="s">
        <v>19</v>
      </c>
      <c r="C10" s="19" t="n">
        <v>4500</v>
      </c>
      <c r="D10" s="20" t="n">
        <v>0.2</v>
      </c>
      <c r="E10" s="21" t="n">
        <f aca="false">C10*D10</f>
        <v>900</v>
      </c>
      <c r="F10" s="19" t="n">
        <v>6060</v>
      </c>
      <c r="G10" s="19" t="n">
        <v>88</v>
      </c>
      <c r="H10" s="13" t="n">
        <f aca="false">IFERROR(ROUND(SQRT(2*F10*2500/E10),0),0)</f>
        <v>183</v>
      </c>
      <c r="I10" s="42" t="n">
        <f aca="false">ROUND(1.65*G10*SQRT(14/30),0)</f>
        <v>99</v>
      </c>
      <c r="J10" s="43" t="n">
        <f aca="false">ROUND((F10/250)*14+I10,0)</f>
        <v>438</v>
      </c>
      <c r="K10" s="44" t="n">
        <f aca="false">IFERROR((H10/2+I10)*E10+(F10/H10)*2500,0)</f>
        <v>254236.885245902</v>
      </c>
    </row>
    <row r="11" customFormat="false" ht="19.5" hidden="false" customHeight="true" outlineLevel="0" collapsed="false">
      <c r="A11" s="8" t="n">
        <v>2</v>
      </c>
      <c r="B11" s="9" t="s">
        <v>21</v>
      </c>
      <c r="C11" s="10" t="n">
        <v>850</v>
      </c>
      <c r="D11" s="11" t="n">
        <v>0.25</v>
      </c>
      <c r="E11" s="12" t="n">
        <f aca="false">C11*D11</f>
        <v>212.5</v>
      </c>
      <c r="F11" s="10" t="n">
        <v>4980</v>
      </c>
      <c r="G11" s="10" t="n">
        <v>72</v>
      </c>
      <c r="H11" s="13" t="n">
        <f aca="false">IFERROR(ROUND(SQRT(2*F11*2500/E11),0),0)</f>
        <v>342</v>
      </c>
      <c r="I11" s="42" t="n">
        <f aca="false">ROUND(1.65*G11*SQRT(14/30),0)</f>
        <v>81</v>
      </c>
      <c r="J11" s="43" t="n">
        <f aca="false">ROUND((F11/250)*14+I11,0)</f>
        <v>360</v>
      </c>
      <c r="K11" s="44" t="n">
        <f aca="false">IFERROR((H11/2+I11)*E11+(F11/H11)*2500,0)</f>
        <v>89953.5087719298</v>
      </c>
    </row>
    <row r="12" customFormat="false" ht="19.5" hidden="false" customHeight="true" outlineLevel="0" collapsed="false">
      <c r="A12" s="17" t="n">
        <v>3</v>
      </c>
      <c r="B12" s="18" t="s">
        <v>23</v>
      </c>
      <c r="C12" s="19" t="n">
        <v>1200</v>
      </c>
      <c r="D12" s="20" t="n">
        <v>0.22</v>
      </c>
      <c r="E12" s="21" t="n">
        <f aca="false">C12*D12</f>
        <v>264</v>
      </c>
      <c r="F12" s="19" t="n">
        <v>4200</v>
      </c>
      <c r="G12" s="19" t="n">
        <v>55</v>
      </c>
      <c r="H12" s="13" t="n">
        <f aca="false">IFERROR(ROUND(SQRT(2*F12*2500/E12),0),0)</f>
        <v>282</v>
      </c>
      <c r="I12" s="42" t="n">
        <f aca="false">ROUND(1.65*G12*SQRT(14/30),0)</f>
        <v>62</v>
      </c>
      <c r="J12" s="43" t="n">
        <f aca="false">ROUND((F12/250)*14+I12,0)</f>
        <v>297</v>
      </c>
      <c r="K12" s="44" t="n">
        <f aca="false">IFERROR((H12/2+I12)*E12+(F12/H12)*2500,0)</f>
        <v>90826.0425531915</v>
      </c>
    </row>
    <row r="13" customFormat="false" ht="19.5" hidden="false" customHeight="true" outlineLevel="0" collapsed="false">
      <c r="A13" s="8" t="n">
        <v>4</v>
      </c>
      <c r="B13" s="9" t="s">
        <v>25</v>
      </c>
      <c r="C13" s="10" t="n">
        <v>2200</v>
      </c>
      <c r="D13" s="11" t="n">
        <v>0.18</v>
      </c>
      <c r="E13" s="12" t="n">
        <f aca="false">C13*D13</f>
        <v>396</v>
      </c>
      <c r="F13" s="10" t="n">
        <v>3690</v>
      </c>
      <c r="G13" s="10" t="n">
        <v>100</v>
      </c>
      <c r="H13" s="13" t="n">
        <f aca="false">IFERROR(ROUND(SQRT(2*F13*2500/E13),0),0)</f>
        <v>216</v>
      </c>
      <c r="I13" s="42" t="n">
        <f aca="false">ROUND(1.65*G13*SQRT(14/30),0)</f>
        <v>113</v>
      </c>
      <c r="J13" s="43" t="n">
        <f aca="false">ROUND((F13/250)*14+I13,0)</f>
        <v>320</v>
      </c>
      <c r="K13" s="44" t="n">
        <f aca="false">IFERROR((H13/2+I13)*E13+(F13/H13)*2500,0)</f>
        <v>130224.333333333</v>
      </c>
    </row>
    <row r="14" customFormat="false" ht="19.5" hidden="false" customHeight="true" outlineLevel="0" collapsed="false">
      <c r="A14" s="17" t="n">
        <v>5</v>
      </c>
      <c r="B14" s="18" t="s">
        <v>27</v>
      </c>
      <c r="C14" s="19" t="n">
        <v>650</v>
      </c>
      <c r="D14" s="20" t="n">
        <v>0.28</v>
      </c>
      <c r="E14" s="21" t="n">
        <f aca="false">C14*D14</f>
        <v>182</v>
      </c>
      <c r="F14" s="19" t="n">
        <v>4980</v>
      </c>
      <c r="G14" s="19" t="n">
        <v>48</v>
      </c>
      <c r="H14" s="13" t="n">
        <f aca="false">IFERROR(ROUND(SQRT(2*F14*2500/E14),0),0)</f>
        <v>370</v>
      </c>
      <c r="I14" s="42" t="n">
        <f aca="false">ROUND(1.65*G14*SQRT(14/30),0)</f>
        <v>54</v>
      </c>
      <c r="J14" s="43" t="n">
        <f aca="false">ROUND((F14/250)*14+I14,0)</f>
        <v>333</v>
      </c>
      <c r="K14" s="44" t="n">
        <f aca="false">IFERROR((H14/2+I14)*E14+(F14/H14)*2500,0)</f>
        <v>77146.6486486487</v>
      </c>
    </row>
    <row r="15" customFormat="false" ht="21.75" hidden="false" customHeight="true" outlineLevel="0" collapsed="false">
      <c r="A15" s="45"/>
      <c r="B15" s="46" t="s">
        <v>53</v>
      </c>
      <c r="C15" s="47" t="s">
        <v>54</v>
      </c>
      <c r="D15" s="47" t="s">
        <v>54</v>
      </c>
      <c r="E15" s="47" t="s">
        <v>54</v>
      </c>
      <c r="F15" s="48" t="n">
        <f aca="false">SUM(F10:F14)</f>
        <v>23910</v>
      </c>
      <c r="G15" s="47" t="s">
        <v>54</v>
      </c>
      <c r="H15" s="47" t="s">
        <v>54</v>
      </c>
      <c r="I15" s="47" t="s">
        <v>54</v>
      </c>
      <c r="J15" s="47" t="s">
        <v>54</v>
      </c>
      <c r="K15" s="48" t="n">
        <f aca="false">SUM(K10:K14)</f>
        <v>642387.418553005</v>
      </c>
    </row>
  </sheetData>
  <mergeCells count="4">
    <mergeCell ref="A1:K1"/>
    <mergeCell ref="A2:K2"/>
    <mergeCell ref="A4:K4"/>
    <mergeCell ref="A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5" min="2" style="1" width="9"/>
  </cols>
  <sheetData>
    <row r="1" customFormat="false" ht="31.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8" hidden="false" customHeight="true" outlineLevel="0" collapsed="false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21.75" hidden="false" customHeight="true" outlineLevel="0" collapsed="false">
      <c r="A4" s="7" t="s">
        <v>8</v>
      </c>
      <c r="B4" s="49" t="s">
        <v>57</v>
      </c>
      <c r="C4" s="49" t="s">
        <v>58</v>
      </c>
      <c r="D4" s="49" t="s">
        <v>59</v>
      </c>
      <c r="E4" s="49" t="s">
        <v>60</v>
      </c>
      <c r="F4" s="49" t="s">
        <v>61</v>
      </c>
      <c r="G4" s="49" t="s">
        <v>62</v>
      </c>
      <c r="H4" s="49" t="s">
        <v>63</v>
      </c>
      <c r="I4" s="49" t="s">
        <v>64</v>
      </c>
      <c r="J4" s="49" t="s">
        <v>65</v>
      </c>
      <c r="K4" s="49" t="s">
        <v>66</v>
      </c>
      <c r="L4" s="49" t="s">
        <v>67</v>
      </c>
      <c r="M4" s="49" t="s">
        <v>68</v>
      </c>
      <c r="N4" s="49" t="s">
        <v>69</v>
      </c>
      <c r="O4" s="50" t="s">
        <v>70</v>
      </c>
    </row>
    <row r="5" customFormat="false" ht="18" hidden="false" customHeight="true" outlineLevel="0" collapsed="false">
      <c r="A5" s="9" t="s">
        <v>19</v>
      </c>
      <c r="B5" s="51" t="n">
        <v>420</v>
      </c>
      <c r="C5" s="51" t="n">
        <v>390</v>
      </c>
      <c r="D5" s="51" t="n">
        <v>410</v>
      </c>
      <c r="E5" s="51" t="n">
        <v>450</v>
      </c>
      <c r="F5" s="51" t="n">
        <v>470</v>
      </c>
      <c r="G5" s="51" t="n">
        <v>500</v>
      </c>
      <c r="H5" s="51" t="n">
        <v>520</v>
      </c>
      <c r="I5" s="51" t="n">
        <v>540</v>
      </c>
      <c r="J5" s="51" t="n">
        <v>510</v>
      </c>
      <c r="K5" s="51" t="n">
        <v>580</v>
      </c>
      <c r="L5" s="51" t="n">
        <v>720</v>
      </c>
      <c r="M5" s="51" t="n">
        <v>850</v>
      </c>
      <c r="N5" s="52" t="n">
        <f aca="false">SUM(B5:M5)</f>
        <v>6360</v>
      </c>
      <c r="O5" s="53" t="str">
        <f aca="false">INDEX(B4:M4,MATCH(MAX(B5:M5),B5:M5,0))</f>
        <v>Dec</v>
      </c>
    </row>
    <row r="6" customFormat="false" ht="18" hidden="false" customHeight="true" outlineLevel="0" collapsed="false">
      <c r="A6" s="18" t="s">
        <v>21</v>
      </c>
      <c r="B6" s="54" t="n">
        <v>310</v>
      </c>
      <c r="C6" s="54" t="n">
        <v>290</v>
      </c>
      <c r="D6" s="54" t="n">
        <v>320</v>
      </c>
      <c r="E6" s="54" t="n">
        <v>380</v>
      </c>
      <c r="F6" s="54" t="n">
        <v>420</v>
      </c>
      <c r="G6" s="54" t="n">
        <v>460</v>
      </c>
      <c r="H6" s="54" t="n">
        <v>480</v>
      </c>
      <c r="I6" s="54" t="n">
        <v>500</v>
      </c>
      <c r="J6" s="54" t="n">
        <v>440</v>
      </c>
      <c r="K6" s="54" t="n">
        <v>390</v>
      </c>
      <c r="L6" s="54" t="n">
        <v>550</v>
      </c>
      <c r="M6" s="54" t="n">
        <v>680</v>
      </c>
      <c r="N6" s="52" t="n">
        <f aca="false">SUM(B6:M6)</f>
        <v>5220</v>
      </c>
      <c r="O6" s="53" t="str">
        <f aca="false">INDEX(B4:M4,MATCH(MAX(B6:M6),B6:M6,0))</f>
        <v>Dec</v>
      </c>
    </row>
    <row r="7" customFormat="false" ht="18" hidden="false" customHeight="true" outlineLevel="0" collapsed="false">
      <c r="A7" s="9" t="s">
        <v>23</v>
      </c>
      <c r="B7" s="51" t="n">
        <v>280</v>
      </c>
      <c r="C7" s="51" t="n">
        <v>260</v>
      </c>
      <c r="D7" s="51" t="n">
        <v>275</v>
      </c>
      <c r="E7" s="51" t="n">
        <v>310</v>
      </c>
      <c r="F7" s="51" t="n">
        <v>340</v>
      </c>
      <c r="G7" s="51" t="n">
        <v>360</v>
      </c>
      <c r="H7" s="51" t="n">
        <v>370</v>
      </c>
      <c r="I7" s="51" t="n">
        <v>380</v>
      </c>
      <c r="J7" s="51" t="n">
        <v>350</v>
      </c>
      <c r="K7" s="51" t="n">
        <v>400</v>
      </c>
      <c r="L7" s="51" t="n">
        <v>490</v>
      </c>
      <c r="M7" s="51" t="n">
        <v>580</v>
      </c>
      <c r="N7" s="52" t="n">
        <f aca="false">SUM(B7:M7)</f>
        <v>4395</v>
      </c>
      <c r="O7" s="53" t="str">
        <f aca="false">INDEX(B4:M4,MATCH(MAX(B7:M7),B7:M7,0))</f>
        <v>Dec</v>
      </c>
    </row>
    <row r="8" customFormat="false" ht="18" hidden="false" customHeight="true" outlineLevel="0" collapsed="false">
      <c r="A8" s="18" t="s">
        <v>25</v>
      </c>
      <c r="B8" s="54" t="n">
        <v>190</v>
      </c>
      <c r="C8" s="54" t="n">
        <v>180</v>
      </c>
      <c r="D8" s="54" t="n">
        <v>210</v>
      </c>
      <c r="E8" s="54" t="n">
        <v>280</v>
      </c>
      <c r="F8" s="54" t="n">
        <v>350</v>
      </c>
      <c r="G8" s="54" t="n">
        <v>420</v>
      </c>
      <c r="H8" s="54" t="n">
        <v>460</v>
      </c>
      <c r="I8" s="54" t="n">
        <v>440</v>
      </c>
      <c r="J8" s="54" t="n">
        <v>380</v>
      </c>
      <c r="K8" s="54" t="n">
        <v>310</v>
      </c>
      <c r="L8" s="54" t="n">
        <v>250</v>
      </c>
      <c r="M8" s="54" t="n">
        <v>220</v>
      </c>
      <c r="N8" s="52" t="n">
        <f aca="false">SUM(B8:M8)</f>
        <v>3690</v>
      </c>
      <c r="O8" s="53" t="str">
        <f aca="false">INDEX(B4:M4,MATCH(MAX(B8:M8),B8:M8,0))</f>
        <v>Jul</v>
      </c>
    </row>
    <row r="9" customFormat="false" ht="18" hidden="false" customHeight="true" outlineLevel="0" collapsed="false">
      <c r="A9" s="9" t="s">
        <v>27</v>
      </c>
      <c r="B9" s="51" t="n">
        <v>350</v>
      </c>
      <c r="C9" s="51" t="n">
        <v>330</v>
      </c>
      <c r="D9" s="51" t="n">
        <v>355</v>
      </c>
      <c r="E9" s="51" t="n">
        <v>370</v>
      </c>
      <c r="F9" s="51" t="n">
        <v>390</v>
      </c>
      <c r="G9" s="51" t="n">
        <v>410</v>
      </c>
      <c r="H9" s="51" t="n">
        <v>420</v>
      </c>
      <c r="I9" s="51" t="n">
        <v>430</v>
      </c>
      <c r="J9" s="51" t="n">
        <v>415</v>
      </c>
      <c r="K9" s="51" t="n">
        <v>440</v>
      </c>
      <c r="L9" s="51" t="n">
        <v>510</v>
      </c>
      <c r="M9" s="51" t="n">
        <v>560</v>
      </c>
      <c r="N9" s="52" t="n">
        <f aca="false">SUM(B9:M9)</f>
        <v>4980</v>
      </c>
      <c r="O9" s="53" t="str">
        <f aca="false">INDEX(B4:M4,MATCH(MAX(B9:M9),B9:M9,0))</f>
        <v>Dec</v>
      </c>
    </row>
    <row r="10" customFormat="false" ht="21.75" hidden="false" customHeight="true" outlineLevel="0" collapsed="false">
      <c r="A10" s="55" t="s">
        <v>71</v>
      </c>
      <c r="B10" s="56" t="n">
        <f aca="false">SUM(B5:B9)</f>
        <v>1550</v>
      </c>
      <c r="C10" s="56" t="n">
        <f aca="false">SUM(C5:C9)</f>
        <v>1450</v>
      </c>
      <c r="D10" s="56" t="n">
        <f aca="false">SUM(D5:D9)</f>
        <v>1570</v>
      </c>
      <c r="E10" s="56" t="n">
        <f aca="false">SUM(E5:E9)</f>
        <v>1790</v>
      </c>
      <c r="F10" s="56" t="n">
        <f aca="false">SUM(F5:F9)</f>
        <v>1970</v>
      </c>
      <c r="G10" s="56" t="n">
        <f aca="false">SUM(G5:G9)</f>
        <v>2150</v>
      </c>
      <c r="H10" s="56" t="n">
        <f aca="false">SUM(H5:H9)</f>
        <v>2250</v>
      </c>
      <c r="I10" s="56" t="n">
        <f aca="false">SUM(I5:I9)</f>
        <v>2290</v>
      </c>
      <c r="J10" s="56" t="n">
        <f aca="false">SUM(J5:J9)</f>
        <v>2095</v>
      </c>
      <c r="K10" s="56" t="n">
        <f aca="false">SUM(K5:K9)</f>
        <v>2120</v>
      </c>
      <c r="L10" s="56" t="n">
        <f aca="false">SUM(L5:L9)</f>
        <v>2520</v>
      </c>
      <c r="M10" s="56" t="n">
        <f aca="false">SUM(M5:M9)</f>
        <v>2890</v>
      </c>
      <c r="N10" s="56" t="n">
        <f aca="false">SUM(N5:N9)</f>
        <v>24645</v>
      </c>
      <c r="O10" s="57" t="s">
        <v>54</v>
      </c>
    </row>
    <row r="12" customFormat="false" ht="21.75" hidden="false" customHeight="true" outlineLevel="0" collapsed="false">
      <c r="A12" s="4" t="s">
        <v>72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customFormat="false" ht="18" hidden="false" customHeight="true" outlineLevel="0" collapsed="false">
      <c r="A13" s="5" t="s">
        <v>73</v>
      </c>
      <c r="B13" s="58" t="s">
        <v>54</v>
      </c>
      <c r="C13" s="59" t="n">
        <f aca="false">IFERROR((C10-B10)/B10,0)</f>
        <v>-0.0645161290322581</v>
      </c>
      <c r="D13" s="59" t="n">
        <f aca="false">IFERROR((D10-C10)/C10,0)</f>
        <v>0.0827586206896552</v>
      </c>
      <c r="E13" s="59" t="n">
        <f aca="false">IFERROR((E10-D10)/D10,0)</f>
        <v>0.140127388535032</v>
      </c>
      <c r="F13" s="59" t="n">
        <f aca="false">IFERROR((F10-E10)/E10,0)</f>
        <v>0.100558659217877</v>
      </c>
      <c r="G13" s="59" t="n">
        <f aca="false">IFERROR((G10-F10)/F10,0)</f>
        <v>0.0913705583756345</v>
      </c>
      <c r="H13" s="59" t="n">
        <f aca="false">IFERROR((H10-G10)/G10,0)</f>
        <v>0.0465116279069767</v>
      </c>
      <c r="I13" s="59" t="n">
        <f aca="false">IFERROR((I10-H10)/H10,0)</f>
        <v>0.0177777777777778</v>
      </c>
      <c r="J13" s="59" t="n">
        <f aca="false">IFERROR((J10-I10)/I10,0)</f>
        <v>-0.0851528384279476</v>
      </c>
      <c r="K13" s="59" t="n">
        <f aca="false">IFERROR((K10-J10)/J10,0)</f>
        <v>0.0119331742243437</v>
      </c>
      <c r="L13" s="59" t="n">
        <f aca="false">IFERROR((L10-K10)/K10,0)</f>
        <v>0.188679245283019</v>
      </c>
      <c r="M13" s="59" t="n">
        <f aca="false">IFERROR((M10-L10)/L10,0)</f>
        <v>0.146825396825397</v>
      </c>
      <c r="N13" s="58" t="s">
        <v>54</v>
      </c>
      <c r="O13" s="58" t="s">
        <v>54</v>
      </c>
    </row>
  </sheetData>
  <mergeCells count="3">
    <mergeCell ref="A1:O1"/>
    <mergeCell ref="A2:O2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10" min="7" style="1" width="14"/>
    <col collapsed="false" customWidth="true" hidden="false" outlineLevel="0" max="11" min="11" style="1" width="20"/>
  </cols>
  <sheetData>
    <row r="1" customFormat="false" ht="31.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75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1.75" hidden="false" customHeight="true" outlineLevel="0" collapsed="false">
      <c r="A4" s="7" t="s">
        <v>7</v>
      </c>
      <c r="B4" s="7" t="s">
        <v>8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81</v>
      </c>
      <c r="I4" s="7" t="s">
        <v>82</v>
      </c>
      <c r="J4" s="7" t="s">
        <v>83</v>
      </c>
      <c r="K4" s="7" t="s">
        <v>84</v>
      </c>
    </row>
    <row r="5" customFormat="false" ht="19.5" hidden="false" customHeight="true" outlineLevel="0" collapsed="false">
      <c r="A5" s="8" t="n">
        <v>1</v>
      </c>
      <c r="B5" s="9" t="s">
        <v>19</v>
      </c>
      <c r="C5" s="60" t="s">
        <v>85</v>
      </c>
      <c r="D5" s="8" t="s">
        <v>86</v>
      </c>
      <c r="E5" s="10" t="n">
        <v>12</v>
      </c>
      <c r="F5" s="10" t="n">
        <v>14</v>
      </c>
      <c r="G5" s="61" t="n">
        <f aca="false">F5-E5</f>
        <v>2</v>
      </c>
      <c r="H5" s="11" t="n">
        <v>0.9</v>
      </c>
      <c r="I5" s="8" t="s">
        <v>87</v>
      </c>
      <c r="J5" s="62" t="s">
        <v>88</v>
      </c>
      <c r="K5" s="63" t="s">
        <v>89</v>
      </c>
    </row>
    <row r="6" customFormat="false" ht="19.5" hidden="false" customHeight="true" outlineLevel="0" collapsed="false">
      <c r="A6" s="17" t="n">
        <v>2</v>
      </c>
      <c r="B6" s="18" t="s">
        <v>21</v>
      </c>
      <c r="C6" s="64" t="s">
        <v>90</v>
      </c>
      <c r="D6" s="17" t="s">
        <v>91</v>
      </c>
      <c r="E6" s="19" t="n">
        <v>10</v>
      </c>
      <c r="F6" s="19" t="n">
        <v>11</v>
      </c>
      <c r="G6" s="61" t="n">
        <f aca="false">F6-E6</f>
        <v>1</v>
      </c>
      <c r="H6" s="20" t="n">
        <v>0.95</v>
      </c>
      <c r="I6" s="17" t="s">
        <v>92</v>
      </c>
      <c r="J6" s="65" t="s">
        <v>93</v>
      </c>
      <c r="K6" s="66" t="s">
        <v>89</v>
      </c>
    </row>
    <row r="7" customFormat="false" ht="19.5" hidden="false" customHeight="true" outlineLevel="0" collapsed="false">
      <c r="A7" s="8" t="n">
        <v>3</v>
      </c>
      <c r="B7" s="9" t="s">
        <v>23</v>
      </c>
      <c r="C7" s="60" t="s">
        <v>94</v>
      </c>
      <c r="D7" s="8" t="s">
        <v>95</v>
      </c>
      <c r="E7" s="10" t="n">
        <v>14</v>
      </c>
      <c r="F7" s="10" t="n">
        <v>13</v>
      </c>
      <c r="G7" s="67" t="n">
        <f aca="false">F7-E7</f>
        <v>-1</v>
      </c>
      <c r="H7" s="11" t="n">
        <v>0.92</v>
      </c>
      <c r="I7" s="8" t="s">
        <v>96</v>
      </c>
      <c r="J7" s="62" t="s">
        <v>97</v>
      </c>
      <c r="K7" s="63" t="s">
        <v>89</v>
      </c>
    </row>
    <row r="8" customFormat="false" ht="19.5" hidden="false" customHeight="true" outlineLevel="0" collapsed="false">
      <c r="A8" s="17" t="n">
        <v>4</v>
      </c>
      <c r="B8" s="18" t="s">
        <v>25</v>
      </c>
      <c r="C8" s="64" t="s">
        <v>98</v>
      </c>
      <c r="D8" s="17" t="s">
        <v>99</v>
      </c>
      <c r="E8" s="19" t="n">
        <v>16</v>
      </c>
      <c r="F8" s="19" t="n">
        <v>18</v>
      </c>
      <c r="G8" s="61" t="n">
        <f aca="false">F8-E8</f>
        <v>2</v>
      </c>
      <c r="H8" s="20" t="n">
        <v>0.9</v>
      </c>
      <c r="I8" s="17" t="s">
        <v>100</v>
      </c>
      <c r="J8" s="65" t="s">
        <v>101</v>
      </c>
      <c r="K8" s="66" t="s">
        <v>89</v>
      </c>
    </row>
    <row r="9" customFormat="false" ht="19.5" hidden="false" customHeight="true" outlineLevel="0" collapsed="false">
      <c r="A9" s="8" t="n">
        <v>5</v>
      </c>
      <c r="B9" s="9" t="s">
        <v>27</v>
      </c>
      <c r="C9" s="60" t="s">
        <v>102</v>
      </c>
      <c r="D9" s="8" t="s">
        <v>103</v>
      </c>
      <c r="E9" s="10" t="n">
        <v>10</v>
      </c>
      <c r="F9" s="10" t="n">
        <v>12</v>
      </c>
      <c r="G9" s="61" t="n">
        <f aca="false">F9-E9</f>
        <v>2</v>
      </c>
      <c r="H9" s="11" t="n">
        <v>0.9</v>
      </c>
      <c r="I9" s="8" t="s">
        <v>104</v>
      </c>
      <c r="J9" s="62" t="s">
        <v>88</v>
      </c>
      <c r="K9" s="63" t="s">
        <v>89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22"/>
  </cols>
  <sheetData>
    <row r="1" customFormat="false" ht="31.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7" t="s">
        <v>7</v>
      </c>
      <c r="B4" s="7" t="s">
        <v>107</v>
      </c>
      <c r="C4" s="7" t="s">
        <v>8</v>
      </c>
      <c r="D4" s="7" t="s">
        <v>9</v>
      </c>
      <c r="E4" s="7" t="s">
        <v>108</v>
      </c>
      <c r="F4" s="7" t="s">
        <v>47</v>
      </c>
      <c r="G4" s="7" t="s">
        <v>18</v>
      </c>
      <c r="H4" s="7" t="s">
        <v>30</v>
      </c>
      <c r="I4" s="7" t="s">
        <v>16</v>
      </c>
      <c r="J4" s="7" t="s">
        <v>17</v>
      </c>
      <c r="K4" s="7" t="s">
        <v>109</v>
      </c>
      <c r="L4" s="7" t="s">
        <v>110</v>
      </c>
    </row>
    <row r="5" customFormat="false" ht="19.5" hidden="false" customHeight="true" outlineLevel="0" collapsed="false">
      <c r="A5" s="8" t="n">
        <v>1</v>
      </c>
      <c r="B5" s="8" t="s">
        <v>111</v>
      </c>
      <c r="C5" s="68" t="s">
        <v>19</v>
      </c>
      <c r="D5" s="68" t="s">
        <v>20</v>
      </c>
      <c r="E5" s="51" t="n">
        <v>580</v>
      </c>
      <c r="F5" s="51" t="n">
        <v>4500</v>
      </c>
      <c r="G5" s="51" t="n">
        <v>850</v>
      </c>
      <c r="H5" s="51" t="n">
        <v>183</v>
      </c>
      <c r="I5" s="51" t="n">
        <v>90</v>
      </c>
      <c r="J5" s="51" t="n">
        <v>428</v>
      </c>
      <c r="K5" s="69" t="s">
        <v>112</v>
      </c>
      <c r="L5" s="8" t="s">
        <v>113</v>
      </c>
    </row>
    <row r="6" customFormat="false" ht="19.5" hidden="false" customHeight="true" outlineLevel="0" collapsed="false">
      <c r="A6" s="17" t="n">
        <v>2</v>
      </c>
      <c r="B6" s="17" t="s">
        <v>111</v>
      </c>
      <c r="C6" s="70" t="s">
        <v>21</v>
      </c>
      <c r="D6" s="70" t="s">
        <v>22</v>
      </c>
      <c r="E6" s="54" t="n">
        <v>390</v>
      </c>
      <c r="F6" s="54" t="n">
        <v>850</v>
      </c>
      <c r="G6" s="54" t="n">
        <v>420</v>
      </c>
      <c r="H6" s="54" t="n">
        <v>242</v>
      </c>
      <c r="I6" s="54" t="n">
        <v>74</v>
      </c>
      <c r="J6" s="54" t="n">
        <v>355</v>
      </c>
      <c r="K6" s="71" t="s">
        <v>114</v>
      </c>
      <c r="L6" s="17" t="s">
        <v>113</v>
      </c>
    </row>
    <row r="7" customFormat="false" ht="19.5" hidden="false" customHeight="true" outlineLevel="0" collapsed="false">
      <c r="A7" s="8" t="n">
        <v>3</v>
      </c>
      <c r="B7" s="8" t="s">
        <v>111</v>
      </c>
      <c r="C7" s="68" t="s">
        <v>23</v>
      </c>
      <c r="D7" s="68" t="s">
        <v>24</v>
      </c>
      <c r="E7" s="51" t="n">
        <v>400</v>
      </c>
      <c r="F7" s="51" t="n">
        <v>1200</v>
      </c>
      <c r="G7" s="51" t="n">
        <v>320</v>
      </c>
      <c r="H7" s="51" t="n">
        <v>200</v>
      </c>
      <c r="I7" s="51" t="n">
        <v>56</v>
      </c>
      <c r="J7" s="51" t="n">
        <v>291</v>
      </c>
      <c r="K7" s="69" t="s">
        <v>115</v>
      </c>
      <c r="L7" s="8" t="s">
        <v>113</v>
      </c>
    </row>
    <row r="8" customFormat="false" ht="19.5" hidden="false" customHeight="true" outlineLevel="0" collapsed="false">
      <c r="A8" s="17" t="n">
        <v>4</v>
      </c>
      <c r="B8" s="17" t="s">
        <v>111</v>
      </c>
      <c r="C8" s="70" t="s">
        <v>25</v>
      </c>
      <c r="D8" s="70" t="s">
        <v>26</v>
      </c>
      <c r="E8" s="54" t="n">
        <v>310</v>
      </c>
      <c r="F8" s="54" t="n">
        <v>2200</v>
      </c>
      <c r="G8" s="54" t="n">
        <v>250</v>
      </c>
      <c r="H8" s="54" t="n">
        <v>204</v>
      </c>
      <c r="I8" s="54" t="n">
        <v>103</v>
      </c>
      <c r="J8" s="54" t="n">
        <v>450</v>
      </c>
      <c r="K8" s="71" t="s">
        <v>115</v>
      </c>
      <c r="L8" s="17" t="s">
        <v>113</v>
      </c>
    </row>
    <row r="9" customFormat="false" ht="19.5" hidden="false" customHeight="true" outlineLevel="0" collapsed="false">
      <c r="A9" s="8" t="n">
        <v>5</v>
      </c>
      <c r="B9" s="8" t="s">
        <v>111</v>
      </c>
      <c r="C9" s="68" t="s">
        <v>27</v>
      </c>
      <c r="D9" s="68" t="s">
        <v>28</v>
      </c>
      <c r="E9" s="51" t="n">
        <v>440</v>
      </c>
      <c r="F9" s="51" t="n">
        <v>650</v>
      </c>
      <c r="G9" s="51" t="n">
        <v>510</v>
      </c>
      <c r="H9" s="51" t="n">
        <v>330</v>
      </c>
      <c r="I9" s="51" t="n">
        <v>49</v>
      </c>
      <c r="J9" s="51" t="n">
        <v>326</v>
      </c>
      <c r="K9" s="69" t="s">
        <v>114</v>
      </c>
      <c r="L9" s="8" t="s">
        <v>113</v>
      </c>
    </row>
    <row r="11" customFormat="false" ht="21.75" hidden="false" customHeight="true" outlineLevel="0" collapsed="false">
      <c r="A11" s="39" t="s">
        <v>116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customFormat="false" ht="15.75" hidden="false" customHeight="true" outlineLevel="0" collapsed="false">
      <c r="A12" s="72" t="s">
        <v>117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</row>
    <row r="13" customFormat="false" ht="15.75" hidden="false" customHeight="true" outlineLevel="0" collapsed="false">
      <c r="A13" s="72" t="s">
        <v>118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</row>
    <row r="14" customFormat="false" ht="15.75" hidden="false" customHeight="true" outlineLevel="0" collapsed="false">
      <c r="A14" s="72" t="s">
        <v>119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</row>
    <row r="15" customFormat="false" ht="15.75" hidden="false" customHeight="true" outlineLevel="0" collapsed="false">
      <c r="A15" s="72" t="s">
        <v>120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</row>
    <row r="16" customFormat="false" ht="15.75" hidden="false" customHeight="true" outlineLevel="0" collapsed="false">
      <c r="A16" s="72" t="s">
        <v>121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</row>
    <row r="17" customFormat="false" ht="15.75" hidden="false" customHeight="true" outlineLevel="0" collapsed="false">
      <c r="A17" s="72" t="s">
        <v>122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customFormat="false" ht="15.75" hidden="false" customHeight="true" outlineLevel="0" collapsed="false">
      <c r="A18" s="72" t="s">
        <v>123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</row>
  </sheetData>
  <mergeCells count="10">
    <mergeCell ref="A1:L1"/>
    <mergeCell ref="A2:L2"/>
    <mergeCell ref="A11:L11"/>
    <mergeCell ref="A12:L12"/>
    <mergeCell ref="A13:L13"/>
    <mergeCell ref="A14:L14"/>
    <mergeCell ref="A15:L15"/>
    <mergeCell ref="A16:L16"/>
    <mergeCell ref="A17:L17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7" min="6" style="1" width="18"/>
    <col collapsed="false" customWidth="true" hidden="false" outlineLevel="0" max="8" min="8" style="1" width="20"/>
  </cols>
  <sheetData>
    <row r="1" customFormat="false" ht="31.5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39" t="s">
        <v>126</v>
      </c>
      <c r="B4" s="39"/>
      <c r="C4" s="39"/>
      <c r="D4" s="39"/>
      <c r="E4" s="39"/>
      <c r="F4" s="39"/>
      <c r="G4" s="39"/>
      <c r="H4" s="39"/>
    </row>
    <row r="5" customFormat="false" ht="27.75" hidden="false" customHeight="true" outlineLevel="0" collapsed="false">
      <c r="B5" s="9" t="s">
        <v>127</v>
      </c>
      <c r="C5" s="73" t="n">
        <f aca="false">COUNTA(Inventory_Tracker!B9:B13)</f>
        <v>5</v>
      </c>
      <c r="D5" s="74"/>
      <c r="E5" s="74"/>
      <c r="F5" s="74"/>
      <c r="G5" s="74"/>
      <c r="H5" s="74"/>
    </row>
    <row r="6" customFormat="false" ht="27.75" hidden="false" customHeight="true" outlineLevel="0" collapsed="false">
      <c r="B6" s="18" t="s">
        <v>128</v>
      </c>
      <c r="C6" s="75" t="n">
        <f aca="false">COUNTIF(Inventory_Tracker!K17:K21,"*CRITICAL*")</f>
        <v>0</v>
      </c>
      <c r="D6" s="76"/>
      <c r="E6" s="76"/>
      <c r="F6" s="76"/>
      <c r="G6" s="76"/>
      <c r="H6" s="76"/>
    </row>
    <row r="7" customFormat="false" ht="27.75" hidden="false" customHeight="true" outlineLevel="0" collapsed="false">
      <c r="B7" s="9" t="s">
        <v>129</v>
      </c>
      <c r="C7" s="77" t="n">
        <f aca="false">COUNTIF(Inventory_Tracker!K17:K21,"*REORDER*")</f>
        <v>1</v>
      </c>
      <c r="D7" s="74"/>
      <c r="E7" s="74"/>
      <c r="F7" s="74"/>
      <c r="G7" s="74"/>
      <c r="H7" s="74"/>
    </row>
    <row r="8" customFormat="false" ht="27.75" hidden="false" customHeight="true" outlineLevel="0" collapsed="false">
      <c r="B8" s="18" t="s">
        <v>130</v>
      </c>
      <c r="C8" s="78" t="n">
        <f aca="false">COUNTIF(Inventory_Tracker!K17:K21,"*EXCESS*")</f>
        <v>1</v>
      </c>
      <c r="D8" s="76"/>
      <c r="E8" s="76"/>
      <c r="F8" s="76"/>
      <c r="G8" s="76"/>
      <c r="H8" s="76"/>
    </row>
    <row r="9" customFormat="false" ht="27.75" hidden="false" customHeight="true" outlineLevel="0" collapsed="false">
      <c r="B9" s="9" t="s">
        <v>131</v>
      </c>
      <c r="C9" s="79" t="n">
        <f aca="false">AVERAGE(Inventory_Tracker!G17:G21)</f>
        <v>23.54</v>
      </c>
      <c r="D9" s="74"/>
      <c r="E9" s="74"/>
      <c r="F9" s="74"/>
      <c r="G9" s="74"/>
      <c r="H9" s="74"/>
    </row>
    <row r="10" customFormat="false" ht="27.75" hidden="false" customHeight="true" outlineLevel="0" collapsed="false">
      <c r="B10" s="18" t="s">
        <v>132</v>
      </c>
      <c r="C10" s="75" t="n">
        <f aca="false">SUM(Inventory_Tracker!J17:J21)</f>
        <v>206100</v>
      </c>
      <c r="D10" s="76"/>
      <c r="E10" s="76"/>
      <c r="F10" s="76"/>
      <c r="G10" s="76"/>
      <c r="H10" s="76"/>
    </row>
    <row r="11" customFormat="false" ht="27.75" hidden="false" customHeight="true" outlineLevel="0" collapsed="false">
      <c r="B11" s="9" t="s">
        <v>133</v>
      </c>
      <c r="C11" s="80" t="n">
        <f aca="false">SUMPRODUCT((Inventory_Tracker!I9:I13/2+Inventory_Tracker!J9:J13)*Inventory_Tracker!F9:F13)+SUMPRODUCT(IFERROR(Inventory_Tracker!G9:G13/Inventory_Tracker!I9:I13*2500,0))</f>
        <v>8879318.08333333</v>
      </c>
      <c r="D11" s="74"/>
      <c r="E11" s="74"/>
      <c r="F11" s="74"/>
      <c r="G11" s="74"/>
      <c r="H11" s="74"/>
    </row>
    <row r="12" customFormat="false" ht="27.75" hidden="false" customHeight="true" outlineLevel="0" collapsed="false">
      <c r="B12" s="18" t="s">
        <v>134</v>
      </c>
      <c r="C12" s="81" t="n">
        <f aca="false">22%</f>
        <v>0.22</v>
      </c>
      <c r="D12" s="76"/>
      <c r="E12" s="76"/>
      <c r="F12" s="76"/>
      <c r="G12" s="76"/>
      <c r="H12" s="76"/>
    </row>
    <row r="14" customFormat="false" ht="21.75" hidden="false" customHeight="true" outlineLevel="0" collapsed="false">
      <c r="A14" s="22" t="s">
        <v>135</v>
      </c>
      <c r="B14" s="22"/>
      <c r="C14" s="22"/>
      <c r="D14" s="22"/>
      <c r="E14" s="22"/>
      <c r="F14" s="22"/>
      <c r="G14" s="22"/>
      <c r="H14" s="22"/>
    </row>
    <row r="15" customFormat="false" ht="21.75" hidden="false" customHeight="true" outlineLevel="0" collapsed="false">
      <c r="B15" s="9" t="s">
        <v>19</v>
      </c>
      <c r="C15" s="82" t="str">
        <f aca="false">Inventory_Tracker!K17</f>
        <v>🟡 EXCESS STOCK</v>
      </c>
      <c r="D15" s="30" t="str">
        <f aca="false">Inventory_Tracker!L17</f>
        <v>Run promotion to clear excess</v>
      </c>
      <c r="E15" s="30"/>
      <c r="F15" s="30"/>
      <c r="G15" s="30"/>
      <c r="H15" s="30"/>
    </row>
    <row r="16" customFormat="false" ht="21.75" hidden="false" customHeight="true" outlineLevel="0" collapsed="false">
      <c r="B16" s="18" t="s">
        <v>21</v>
      </c>
      <c r="C16" s="83" t="str">
        <f aca="false">Inventory_Tracker!K18</f>
        <v>🟢 HEALTHY</v>
      </c>
      <c r="D16" s="37" t="str">
        <f aca="false">Inventory_Tracker!L18</f>
        <v>No action needed</v>
      </c>
      <c r="E16" s="37"/>
      <c r="F16" s="37"/>
      <c r="G16" s="37"/>
      <c r="H16" s="37"/>
    </row>
    <row r="17" customFormat="false" ht="21.75" hidden="false" customHeight="true" outlineLevel="0" collapsed="false">
      <c r="B17" s="9" t="s">
        <v>23</v>
      </c>
      <c r="C17" s="82" t="str">
        <f aca="false">Inventory_Tracker!K19</f>
        <v>🟢 HEALTHY</v>
      </c>
      <c r="D17" s="30" t="str">
        <f aca="false">Inventory_Tracker!L19</f>
        <v>No action needed</v>
      </c>
      <c r="E17" s="30"/>
      <c r="F17" s="30"/>
      <c r="G17" s="30"/>
      <c r="H17" s="30"/>
    </row>
    <row r="18" customFormat="false" ht="21.75" hidden="false" customHeight="true" outlineLevel="0" collapsed="false">
      <c r="B18" s="18" t="s">
        <v>25</v>
      </c>
      <c r="C18" s="83" t="str">
        <f aca="false">Inventory_Tracker!K20</f>
        <v>🟠 REORDER NOW</v>
      </c>
      <c r="D18" s="37" t="str">
        <f aca="false">Inventory_Tracker!L20</f>
        <v>Place replenishment order</v>
      </c>
      <c r="E18" s="37"/>
      <c r="F18" s="37"/>
      <c r="G18" s="37"/>
      <c r="H18" s="37"/>
    </row>
    <row r="19" customFormat="false" ht="21.75" hidden="false" customHeight="true" outlineLevel="0" collapsed="false">
      <c r="B19" s="9" t="s">
        <v>27</v>
      </c>
      <c r="C19" s="82" t="str">
        <f aca="false">Inventory_Tracker!K21</f>
        <v>🟢 HEALTHY</v>
      </c>
      <c r="D19" s="30" t="str">
        <f aca="false">Inventory_Tracker!L21</f>
        <v>No action needed</v>
      </c>
      <c r="E19" s="30"/>
      <c r="F19" s="30"/>
      <c r="G19" s="30"/>
      <c r="H19" s="30"/>
    </row>
  </sheetData>
  <mergeCells count="9">
    <mergeCell ref="A1:H1"/>
    <mergeCell ref="A2:H2"/>
    <mergeCell ref="A4:H4"/>
    <mergeCell ref="A14:H14"/>
    <mergeCell ref="D15:H15"/>
    <mergeCell ref="D16:H16"/>
    <mergeCell ref="D17:H17"/>
    <mergeCell ref="D18:H18"/>
    <mergeCell ref="D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2"/>
    <col collapsed="false" customWidth="true" hidden="false" outlineLevel="0" max="4" min="4" style="1" width="5"/>
  </cols>
  <sheetData>
    <row r="1" customFormat="false" ht="31.5" hidden="false" customHeight="true" outlineLevel="0" collapsed="false">
      <c r="A1" s="2" t="s">
        <v>136</v>
      </c>
      <c r="B1" s="2"/>
      <c r="C1" s="2"/>
      <c r="D1" s="2"/>
    </row>
    <row r="3" customFormat="false" ht="19.5" hidden="false" customHeight="true" outlineLevel="0" collapsed="false">
      <c r="A3" s="84" t="s">
        <v>137</v>
      </c>
      <c r="B3" s="84"/>
      <c r="C3" s="84"/>
      <c r="D3" s="84"/>
    </row>
    <row r="4" customFormat="false" ht="19.5" hidden="false" customHeight="true" outlineLevel="0" collapsed="false">
      <c r="B4" s="85" t="s">
        <v>138</v>
      </c>
      <c r="C4" s="86" t="s">
        <v>139</v>
      </c>
    </row>
    <row r="5" customFormat="false" ht="19.5" hidden="false" customHeight="true" outlineLevel="0" collapsed="false">
      <c r="B5" s="9" t="s">
        <v>140</v>
      </c>
      <c r="C5" s="87" t="s">
        <v>141</v>
      </c>
    </row>
    <row r="6" customFormat="false" ht="19.5" hidden="false" customHeight="true" outlineLevel="0" collapsed="false">
      <c r="B6" s="88" t="s">
        <v>142</v>
      </c>
      <c r="C6" s="86" t="s">
        <v>143</v>
      </c>
    </row>
    <row r="7" customFormat="false" ht="19.5" hidden="false" customHeight="true" outlineLevel="0" collapsed="false">
      <c r="B7" s="9" t="s">
        <v>144</v>
      </c>
      <c r="C7" s="87" t="s">
        <v>145</v>
      </c>
    </row>
    <row r="8" customFormat="false" ht="19.5" hidden="false" customHeight="true" outlineLevel="0" collapsed="false">
      <c r="B8" s="89" t="s">
        <v>146</v>
      </c>
      <c r="C8" s="86" t="s">
        <v>147</v>
      </c>
    </row>
    <row r="9" customFormat="false" ht="19.5" hidden="false" customHeight="true" outlineLevel="0" collapsed="false">
      <c r="B9" s="90" t="s">
        <v>148</v>
      </c>
      <c r="C9" s="87" t="s">
        <v>149</v>
      </c>
    </row>
    <row r="10" customFormat="false" ht="19.5" hidden="false" customHeight="true" outlineLevel="0" collapsed="false">
      <c r="B10" s="91" t="s">
        <v>150</v>
      </c>
      <c r="C10" s="86" t="s">
        <v>151</v>
      </c>
    </row>
    <row r="11" customFormat="false" ht="19.5" hidden="false" customHeight="true" outlineLevel="0" collapsed="false">
      <c r="B11" s="92" t="s">
        <v>152</v>
      </c>
      <c r="C11" s="87" t="s">
        <v>153</v>
      </c>
    </row>
    <row r="12" customFormat="false" ht="19.5" hidden="false" customHeight="true" outlineLevel="0" collapsed="false">
      <c r="A12" s="84" t="s">
        <v>154</v>
      </c>
      <c r="B12" s="84"/>
      <c r="C12" s="84"/>
      <c r="D12" s="84"/>
    </row>
    <row r="13" customFormat="false" ht="19.5" hidden="false" customHeight="true" outlineLevel="0" collapsed="false">
      <c r="B13" s="9" t="s">
        <v>155</v>
      </c>
      <c r="C13" s="87" t="s">
        <v>156</v>
      </c>
    </row>
    <row r="14" customFormat="false" ht="19.5" hidden="false" customHeight="true" outlineLevel="0" collapsed="false">
      <c r="B14" s="5" t="s">
        <v>157</v>
      </c>
      <c r="C14" s="86" t="s">
        <v>158</v>
      </c>
    </row>
    <row r="15" customFormat="false" ht="19.5" hidden="false" customHeight="true" outlineLevel="0" collapsed="false">
      <c r="B15" s="9" t="s">
        <v>159</v>
      </c>
      <c r="C15" s="87" t="s">
        <v>160</v>
      </c>
    </row>
    <row r="16" customFormat="false" ht="19.5" hidden="false" customHeight="true" outlineLevel="0" collapsed="false">
      <c r="B16" s="5" t="s">
        <v>161</v>
      </c>
      <c r="C16" s="86" t="s">
        <v>162</v>
      </c>
    </row>
    <row r="17" customFormat="false" ht="19.5" hidden="false" customHeight="true" outlineLevel="0" collapsed="false">
      <c r="B17" s="9" t="s">
        <v>163</v>
      </c>
      <c r="C17" s="87" t="s">
        <v>164</v>
      </c>
    </row>
    <row r="18" customFormat="false" ht="19.5" hidden="false" customHeight="true" outlineLevel="0" collapsed="false">
      <c r="B18" s="5" t="s">
        <v>165</v>
      </c>
      <c r="C18" s="86" t="s">
        <v>166</v>
      </c>
    </row>
    <row r="19" customFormat="false" ht="19.5" hidden="false" customHeight="true" outlineLevel="0" collapsed="false">
      <c r="A19" s="84" t="s">
        <v>167</v>
      </c>
      <c r="B19" s="84"/>
      <c r="C19" s="84"/>
      <c r="D19" s="84"/>
    </row>
    <row r="20" customFormat="false" ht="19.5" hidden="false" customHeight="true" outlineLevel="0" collapsed="false">
      <c r="B20" s="5" t="s">
        <v>168</v>
      </c>
      <c r="C20" s="86" t="s">
        <v>169</v>
      </c>
    </row>
    <row r="21" customFormat="false" ht="19.5" hidden="false" customHeight="true" outlineLevel="0" collapsed="false">
      <c r="B21" s="9" t="s">
        <v>170</v>
      </c>
      <c r="C21" s="87" t="s">
        <v>171</v>
      </c>
    </row>
    <row r="22" customFormat="false" ht="19.5" hidden="false" customHeight="true" outlineLevel="0" collapsed="false">
      <c r="B22" s="5" t="s">
        <v>172</v>
      </c>
      <c r="C22" s="86" t="s">
        <v>173</v>
      </c>
    </row>
    <row r="23" customFormat="false" ht="19.5" hidden="false" customHeight="true" outlineLevel="0" collapsed="false">
      <c r="B23" s="9" t="s">
        <v>174</v>
      </c>
      <c r="C23" s="87" t="s">
        <v>175</v>
      </c>
    </row>
    <row r="24" customFormat="false" ht="19.5" hidden="false" customHeight="true" outlineLevel="0" collapsed="false">
      <c r="A24" s="84" t="s">
        <v>176</v>
      </c>
      <c r="B24" s="84"/>
      <c r="C24" s="84"/>
      <c r="D24" s="84"/>
    </row>
    <row r="25" customFormat="false" ht="19.5" hidden="false" customHeight="true" outlineLevel="0" collapsed="false">
      <c r="B25" s="9" t="s">
        <v>30</v>
      </c>
      <c r="C25" s="87" t="s">
        <v>177</v>
      </c>
    </row>
    <row r="26" customFormat="false" ht="19.5" hidden="false" customHeight="true" outlineLevel="0" collapsed="false">
      <c r="B26" s="5" t="s">
        <v>178</v>
      </c>
      <c r="C26" s="86" t="s">
        <v>179</v>
      </c>
    </row>
    <row r="27" customFormat="false" ht="19.5" hidden="false" customHeight="true" outlineLevel="0" collapsed="false">
      <c r="B27" s="9" t="s">
        <v>180</v>
      </c>
      <c r="C27" s="87" t="s">
        <v>181</v>
      </c>
    </row>
    <row r="28" customFormat="false" ht="19.5" hidden="false" customHeight="true" outlineLevel="0" collapsed="false">
      <c r="B28" s="5" t="s">
        <v>182</v>
      </c>
      <c r="C28" s="86" t="s">
        <v>183</v>
      </c>
    </row>
    <row r="29" customFormat="false" ht="19.5" hidden="false" customHeight="true" outlineLevel="0" collapsed="false">
      <c r="B29" s="9" t="s">
        <v>184</v>
      </c>
      <c r="C29" s="87" t="s">
        <v>185</v>
      </c>
    </row>
  </sheetData>
  <mergeCells count="5">
    <mergeCell ref="A1:D1"/>
    <mergeCell ref="A3:D3"/>
    <mergeCell ref="A12:D12"/>
    <mergeCell ref="A19:D19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2026-02-23T13:48:09Z</dcterms:created>
  <dc:creator>openpyxl</dc:creator>
  <dc:description/>
  <dc:language>en-US</dc:language>
  <cp:lastModifiedBy/>
  <dcterms:modified xsi:type="dcterms:W3CDTF">2026-02-23T13:49:01Z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